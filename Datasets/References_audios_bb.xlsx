
<file path=[Content_Types].xml><?xml version="1.0" encoding="utf-8"?>
<Types xmlns="http://schemas.openxmlformats.org/package/2006/content-types">
  <Default Extension="wmf" ContentType="image/x-wmf"/>
  <Default Extension="png" ContentType="image/png"/>
  <Default Extension="jpeg" ContentType="image/jpeg"/>
  <Default Extension="xml" ContentType="application/xml"/>
  <Default Extension="rels" ContentType="application/vnd.openxmlformats-package.relationships+xml"/>
  <Default Extension="bin" ContentType="application/vnd.openxmlformats-officedocument.oleObject"/>
  <Override PartName="/xl/styles.xml" ContentType="application/vnd.openxmlformats-officedocument.spreadsheetml.styles+xml"/>
  <Override PartName="/xl/sharedStrings.xml" ContentType="application/vnd.openxmlformats-officedocument.spreadsheetml.sharedStrings+xml"/>
  <Override PartName="/xl/worksheets/sheet4.xml" ContentType="application/vnd.openxmlformats-officedocument.spreadsheetml.worksheet+xml"/>
  <Override PartName="/xl/worksheets/sheet3.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worksheets/sheet1.xml" ContentType="application/vnd.openxmlformats-officedocument.spreadsheetml.worksheet+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Relationships xmlns="http://schemas.openxmlformats.org/package/2006/relationships"><Relationship  Id="rId1" Type="http://schemas.openxmlformats.org/officeDocument/2006/relationships/extended-properties" Target="docProps/app.xml"/><Relationship  Id="rId2" Type="http://schemas.openxmlformats.org/package/2006/relationships/metadata/core-properties" Target="docProps/core.xml"/><Relationship  Id="rId3"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4="http://schemas.microsoft.com/office/spreadsheetml/2009/9/main"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workbookPr date1904="0"/>
  <workbookProtection/>
  <bookViews>
    <workbookView xWindow="360" yWindow="15" windowWidth="20955" windowHeight="9720" activeTab="0"/>
  </bookViews>
  <sheets>
    <sheet name="details" sheetId="1" state="visible" r:id="rId1"/>
    <sheet name="Q18m" sheetId="2" state="visible" r:id="rId2"/>
    <sheet name="nb_conditions" sheetId="3" state="visible" r:id="rId3"/>
    <sheet name="guide" sheetId="4" state="visible" r:id="rId4"/>
  </sheets>
  <definedNames>
    <definedName name="_xlnm._FilterDatabase" localSheetId="0" hidden="1">details!$A$1:$AA$164</definedName>
    <definedName name="_xlnm._FilterDatabase" localSheetId="0" hidden="1">details!$A$1:$AA$164</definedName>
  </definedNames>
  <calcPr refMode="A1" iterate="0" iterateCount="100" iterateDelta="0.0001"/>
  <extLst>
    <ext xmlns:x15="http://schemas.microsoft.com/office/spreadsheetml/2010/11/main" uri="{D0CA8CA8-9F24-4464-BF8E-62219DCF47F9}"/>
  </extLst>
</workbook>
</file>

<file path=xl/sharedStrings.xml><?xml version="1.0" encoding="utf-8"?>
<sst xmlns="http://schemas.openxmlformats.org/spreadsheetml/2006/main" count="389" uniqueCount="389">
  <si>
    <t>BB</t>
  </si>
  <si>
    <t>Tech_error</t>
  </si>
  <si>
    <t>No_data</t>
  </si>
  <si>
    <t>Tested</t>
  </si>
  <si>
    <t>DDT</t>
  </si>
  <si>
    <t>DDN</t>
  </si>
  <si>
    <t>D18m</t>
  </si>
  <si>
    <t>age</t>
  </si>
  <si>
    <t>Mois</t>
  </si>
  <si>
    <t>sexe</t>
  </si>
  <si>
    <t>Timing_modif</t>
  </si>
  <si>
    <t>timing_modif_sec</t>
  </si>
  <si>
    <t>Type_modif</t>
  </si>
  <si>
    <t>Ordre_babylab</t>
  </si>
  <si>
    <t>Ordre_miroir</t>
  </si>
  <si>
    <t>deja_venu</t>
  </si>
  <si>
    <t>code_3m</t>
  </si>
  <si>
    <t>Repisse</t>
  </si>
  <si>
    <t>monolingue</t>
  </si>
  <si>
    <t>tete</t>
  </si>
  <si>
    <t>assis</t>
  </si>
  <si>
    <t>deplacement</t>
  </si>
  <si>
    <t>vocalisation</t>
  </si>
  <si>
    <t>audition_pb</t>
  </si>
  <si>
    <t>description</t>
  </si>
  <si>
    <t>Mirror_recognition</t>
  </si>
  <si>
    <t xml:space="preserve">Commentaires sur la session</t>
  </si>
  <si>
    <t xml:space="preserve">commentaire repisse</t>
  </si>
  <si>
    <t>M</t>
  </si>
  <si>
    <t>1m19</t>
  </si>
  <si>
    <t xml:space="preserve">RAS, bébé dans le cosy, la maman n'a pas eu besoin de parler. </t>
  </si>
  <si>
    <t>F</t>
  </si>
  <si>
    <t xml:space="preserve">N'a pas vocalisé, surement trop de personne dans la salle, était sur les genoux de son père </t>
  </si>
  <si>
    <t xml:space="preserve">Pas de vocalisation, pleurs au moment de mettre le casque </t>
  </si>
  <si>
    <t xml:space="preserve">Problème d'enregistrement</t>
  </si>
  <si>
    <t xml:space="preserve">Pas assez de vocalisations, sur les genoux de sa maman</t>
  </si>
  <si>
    <t>1m20</t>
  </si>
  <si>
    <t xml:space="preserve">RAS, bébé dans le cosy, très contente/sourit beaucoup, beaucoup de vocalisations et la maman n'a pas eu besoin de beaucoup parler  </t>
  </si>
  <si>
    <t xml:space="preserve">Elle a arraché le micro et n'a pas parlé </t>
  </si>
  <si>
    <t xml:space="preserve">Elle était dans le cozy, sa maman a beaucoup parlé mais elle n'a rien dit </t>
  </si>
  <si>
    <t>2m19</t>
  </si>
  <si>
    <t xml:space="preserve">RAS, il a beaucoup vocalisé mais pas beaucoup de syllabe canonique </t>
  </si>
  <si>
    <t>2m53</t>
  </si>
  <si>
    <t xml:space="preserve">Petist bruits à cause d'un jouet mais sinon RAS</t>
  </si>
  <si>
    <t xml:space="preserve">Rires, mais pas assez et aucunes vocalisations, casque pas très serré parce que maman avait peur pour le haut de la tête </t>
  </si>
  <si>
    <t xml:space="preserve">Pleurs au moment de mettre le casque </t>
  </si>
  <si>
    <t>10m40</t>
  </si>
  <si>
    <t xml:space="preserve">Bb confortable avec le casque, David explique l'expé (donc 2x), maman pas très à l'aide mais ça va, bébé plutôt silencieuse mais quelques vocalisations à analyser quand même et casque s'est décroché </t>
  </si>
  <si>
    <t>4m48</t>
  </si>
  <si>
    <t xml:space="preserve">Bb confortable, explication avec les deux parents, jeux et échanges </t>
  </si>
  <si>
    <t xml:space="preserve">Bb très bavard mais arrache le casque, après quelques essais = pleurs, pas de données enregistrées</t>
  </si>
  <si>
    <t xml:space="preserve">BB confortable, maman très joueuse et petit garcon bavard, beaucoup de petits rires</t>
  </si>
  <si>
    <t>1m16</t>
  </si>
  <si>
    <t xml:space="preserve">BB confortable, maman très à l'aise, beaucoup de jeux et petit garçon très bavard, problème au début de l'enregistrement mais ok </t>
  </si>
  <si>
    <t>5m30</t>
  </si>
  <si>
    <t xml:space="preserve">BB confortable, maman très à l'aise, beaucoup de jeux et petite fille plutôt bavard</t>
  </si>
  <si>
    <t>4m15</t>
  </si>
  <si>
    <t>RAS</t>
  </si>
  <si>
    <t>4m47</t>
  </si>
  <si>
    <t xml:space="preserve">BB confortable, maman bavarde, petits rires et cris </t>
  </si>
  <si>
    <t xml:space="preserve">2m20 </t>
  </si>
  <si>
    <t xml:space="preserve">BB allongé sur le dos par terre, confortable, deux parents présents</t>
  </si>
  <si>
    <t>2m15</t>
  </si>
  <si>
    <t xml:space="preserve">BB dans le cosy, confortable, pleurs sur la fin </t>
  </si>
  <si>
    <t xml:space="preserve">BB s'énerve avec le casque, très peu de vocalisations </t>
  </si>
  <si>
    <t xml:space="preserve">BB très fatigué, avait le sucette dans la bouche, on a pas insisté </t>
  </si>
  <si>
    <t>2m23</t>
  </si>
  <si>
    <t xml:space="preserve">Bébé dans le cozy, toutes petites vocalisations, pleurs à la fin</t>
  </si>
  <si>
    <t>2m59</t>
  </si>
  <si>
    <t xml:space="preserve">Bébés confortable dans le cosy, avec la maman et la grand-mère, elles parlaient beaucoup en même temps qu'elle, à voir si il y  a assez de vocalisations? </t>
  </si>
  <si>
    <t xml:space="preserve">Elle ne voulait pas garder le casque, maman pas très bavarde, peut-être un peu mal à l'aise? </t>
  </si>
  <si>
    <t>3m12</t>
  </si>
  <si>
    <t xml:space="preserve">Bébé dans le cosy, avec l'habitude d'avoir un casque anti-bruit sur la tête donc ok </t>
  </si>
  <si>
    <t>2m26</t>
  </si>
  <si>
    <t xml:space="preserve">Bébé dans les bras de sa maman, papa en face qui joue, bébé confortable, plusieurs vocalisations</t>
  </si>
  <si>
    <t xml:space="preserve">Bébés dans le cozy avec maman + tata, confortable mais casque pas vraiment serré..je ne sais pas quoi faire? + pb d'enreigstrement de toute façon..</t>
  </si>
  <si>
    <t xml:space="preserve">Bébé allongé sur le dos, vocalisations mais problèmes d'enregistrements</t>
  </si>
  <si>
    <t xml:space="preserve">Bibi au milieu de l'expérience, Marie au téléphone, du coup deux enregistrements, pas vraiment de vocalisation après, plus des pleurs, pas exploitable</t>
  </si>
  <si>
    <t>1m53</t>
  </si>
  <si>
    <t xml:space="preserve">Bébé  assise sur le canapé à côté de sa maman, bébé qui ne reste pas dans le cosy (bouge trop), maman ne parle pas beaucoup mais bébé vocalise quand même devant un livre </t>
  </si>
  <si>
    <t>4m05</t>
  </si>
  <si>
    <t xml:space="preserve">Bebe assise dans le cozy avec ses deux parents, beaucoup de cris mais ok </t>
  </si>
  <si>
    <t xml:space="preserve">Bébé assise et n'a pas voulu garder le casque, elle a arraché le micro et n'a pas vocalisé </t>
  </si>
  <si>
    <t>3m06</t>
  </si>
  <si>
    <t xml:space="preserve">Bébé un peu malade, petits rires et petites vocalisations mais avec la sucette dans la bouche, mais normalement ok</t>
  </si>
  <si>
    <t xml:space="preserve">Bébé ne voulait pas garder le casque, papa pas très bavard qui n'a pas voulu insister</t>
  </si>
  <si>
    <t xml:space="preserve">Bébé n'a pas voulu garder le casque</t>
  </si>
  <si>
    <t xml:space="preserve">N'a pas vocalisé, que des pleurs, je pense qu'elle n'était pas confortable avec le casque, on a essayé dans le cosy et allongé sur le dos </t>
  </si>
  <si>
    <t>1m39</t>
  </si>
  <si>
    <t xml:space="preserve">Petite fille déjà venu, avec ses deux parents, beaucoup de rire, sinon RAS </t>
  </si>
  <si>
    <t xml:space="preserve">Bébé confortable mais pas de vocalisations, surement trop chaud ensuite </t>
  </si>
  <si>
    <t xml:space="preserve">Bébé très bavard, mais ne voulait pas garder le casque même après plusieurs essais </t>
  </si>
  <si>
    <t xml:space="preserve">Bébé d'abord sur le canapé puis dans sa poussette, deux enregistrements, un peu compliqué au debut mais je pense que ensuite c'est bon </t>
  </si>
  <si>
    <t xml:space="preserve">erreur d’enregistrement:(</t>
  </si>
  <si>
    <t>2m35</t>
  </si>
  <si>
    <t xml:space="preserve">Bébé confortable dans le cosy, pas trop de covocalisations. etit artéfact au début mais le bébé s’est vite détendu et a bien babillé. Il a fait bcp de growls. Plagiocéphalie ?</t>
  </si>
  <si>
    <t xml:space="preserve">Bébé n’a pas supporté le casque, 2 essais mais il pleurait bcp + problème de faux contact avec la carte son (débranchée).</t>
  </si>
  <si>
    <t>8m34</t>
  </si>
  <si>
    <t xml:space="preserve">Bébé n’a pas beaucoup vocalisé. Mère pas à l’aise et bébé non plus. Uniquement enregistrement de la phase initiale. Pas de phase exp. </t>
  </si>
  <si>
    <t>3m29</t>
  </si>
  <si>
    <t>None</t>
  </si>
  <si>
    <t xml:space="preserve">Bébé qui a bien vocalisé surtout sur la deuxième partie, maman à l'aise, pas mal de co-vocs par contre... caméra ok</t>
  </si>
  <si>
    <t xml:space="preserve">on entend de la repisse mais ça va encore; en fait à exclure car l'analyse montre que la transfo n'a pas marché au global</t>
  </si>
  <si>
    <t>4m03</t>
  </si>
  <si>
    <t xml:space="preserve">Bébé qui a bien vocalisé mais a commencé à pleurer suite à la transformation vocale. Petite pause au milieu de l'enregistrement. Pas de caméra car manque carte SD.</t>
  </si>
  <si>
    <t xml:space="preserve">effectivement on entend bcp de repisse</t>
  </si>
  <si>
    <t>2m30</t>
  </si>
  <si>
    <t xml:space="preserve">Très joyeux, calme et curieux</t>
  </si>
  <si>
    <t xml:space="preserve">Bébé à l'aise, bien vocalisé. Bcp de growl et yell. Maman à l'aise. RAS</t>
  </si>
  <si>
    <t xml:space="preserve">Très calme, curieux, souriant et apaisé</t>
  </si>
  <si>
    <t xml:space="preserve">Bébé assez à l'aise (peu confortable avec le cosy mais sans le cosy BB etait à l'aise) mais pleure directement après la modification de la voix. </t>
  </si>
  <si>
    <t>8m13</t>
  </si>
  <si>
    <t xml:space="preserve">Très souriant, bBB intense qui pleure mais aussi assez relax</t>
  </si>
  <si>
    <t xml:space="preserve">Bébé qui ne babille pas au départ. A pleuré après la modif de voix. Ne regardais pas vraiment son regard dans le miroir. </t>
  </si>
  <si>
    <t xml:space="preserve">repisse + fussy</t>
  </si>
  <si>
    <t>3m02</t>
  </si>
  <si>
    <t xml:space="preserve">Bébé parle bcp avant de commencer puis plus bcp de babillage pendant l'étude. Il n'etait probablement pas à l'aise dans le cosy, lorsque la mère l'a pris dans les bras il a babillé. </t>
  </si>
  <si>
    <t>repisse</t>
  </si>
  <si>
    <t>3m15</t>
  </si>
  <si>
    <t xml:space="preserve">Bébé fait bcp de growls, babille sans que papa ne lui parle. Tout est OK.</t>
  </si>
  <si>
    <t xml:space="preserve">A VOIR SI TRANSFO OK APRES ANALYSE?</t>
  </si>
  <si>
    <t xml:space="preserve">Bébé à l'aise à beaucoup vocalisé mais l'enregistrement n'a pas fonctionné, reste la caméra pour le test du miroir. </t>
  </si>
  <si>
    <t>2m21</t>
  </si>
  <si>
    <t xml:space="preserve">Souriante, avenante et curieuse</t>
  </si>
  <si>
    <t xml:space="preserve">Bébé à l'aise, il portait un casque pour plagiocéphalie (tête plate). Adhérence du casque réduite, nous avons le son modifié en dehors du casque. </t>
  </si>
  <si>
    <t xml:space="preserve">TRANSFO OK malgré un peu de repisse entendue</t>
  </si>
  <si>
    <t>1m55</t>
  </si>
  <si>
    <t xml:space="preserve">Gaie, koala (toujours collée à sa mère)</t>
  </si>
  <si>
    <t xml:space="preserve">Bébé à l'aise, on a entendu la modification de la voix mais un peu moins que le BB58. Par contre très peu différence entendue entre les fichiers modifiés et non modifiés. Pour la tâche du miroir, difficulté à attirer le regard sur son reflet. </t>
  </si>
  <si>
    <t>5m15</t>
  </si>
  <si>
    <t xml:space="preserve">Toujours Joyeux, curieux, souriant et bien dans l'échange.</t>
  </si>
  <si>
    <t xml:space="preserve">Bébé pas à l'aise avec le casque, puis pleure pendant toute la phase de modification de voix. Oublie caméra pour l'enregistrement du babillage. Difficulté à anticiper les paroles des parents, bcp de paroles des parents sont transformées. Je ne sais pas si on peut l'intégrer dans l'étude. A voir lors de l'analyse. Pas de reconnaissance dans le miroir mais bébé beaucoup plus détendu pendant la tâche de reconnaissance. </t>
  </si>
  <si>
    <t>1m54</t>
  </si>
  <si>
    <t xml:space="preserve">Gracieu, affirmé, positif</t>
  </si>
  <si>
    <t xml:space="preserve">Père à l'aise donc bébé assez à l'aise, pas mal de babillage mais pleurs sur la fin. RAS</t>
  </si>
  <si>
    <t xml:space="preserve">on entend un peu de repisse mais pas trop - A VOIR SI TRANSFO OK APRES ANALYSE?</t>
  </si>
  <si>
    <t xml:space="preserve">Ouverte, calme</t>
  </si>
  <si>
    <t xml:space="preserve">Bébé ne supporte pas le casque, pleure lorsqu'on lui met le casque + 1 vomi.</t>
  </si>
  <si>
    <t>4m08</t>
  </si>
  <si>
    <t xml:space="preserve">Bon vivant, très jovial, curieux, aime observer et refaire les choses, ingénieux.</t>
  </si>
  <si>
    <t xml:space="preserve">Bébé babille peu, les deux parents ont joué avec bébé + l'un était dos à la caméra devant bébé, pas d'analyse vidéo possible. Bébé se fixe dans le miroir pendant un long moment sans quitter son reflet des yeux. </t>
  </si>
  <si>
    <t>2m38</t>
  </si>
  <si>
    <t xml:space="preserve">Souriante, s'adapte partout, éveillée</t>
  </si>
  <si>
    <t xml:space="preserve">Bébé peu à l'aise lors de la pause du casque, donc casque peu serré et petite fuite du son du casque. Elle a bien babillé bien. Mémoire de la caméra pleine donc pas d'enregistrement vidéo.  </t>
  </si>
  <si>
    <t xml:space="preserve">Souriant, tranquil</t>
  </si>
  <si>
    <t xml:space="preserve">Bébé ne supporte pas le casque.</t>
  </si>
  <si>
    <t xml:space="preserve">Eveillé, besoin d'attention et d'être stimulé</t>
  </si>
  <si>
    <t xml:space="preserve">La mère parle en même temps que bébé au début de l'enregistrement, bébé à l'aise, babille beaucoup. Pas de fuite du son.  Difficulté à le faire regarder dans le miroir. </t>
  </si>
  <si>
    <t xml:space="preserve">Transfo semble ok à l'oreille?</t>
  </si>
  <si>
    <t xml:space="preserve">Bébé peu à l'aise avec le casque, ne babille pas puis pleure pendant l'enregistrement. Tâche du miroir filmée</t>
  </si>
  <si>
    <t>1m50</t>
  </si>
  <si>
    <t xml:space="preserve">Communication, interaction</t>
  </si>
  <si>
    <t xml:space="preserve">Bébé à l'aise avec le casque, beaucoup de vocalisations dans la première phase de test puis bébé ne vocalise plus (5 vocs avec modif). Tâche du miroir RAS.</t>
  </si>
  <si>
    <t>4m30</t>
  </si>
  <si>
    <t xml:space="preserve">Souriant, cool, dynamique</t>
  </si>
  <si>
    <t xml:space="preserve">Bébé met du temps à babiller mais sinon à l'aise avec le casque. Miroir - difficile de savoir si il regarde sn reflet ou non, peu intéressé par le miroir.</t>
  </si>
  <si>
    <t>6m44</t>
  </si>
  <si>
    <t xml:space="preserve">Joyeuse, bouge beaucoup, très active</t>
  </si>
  <si>
    <t xml:space="preserve">Bébé met du temps à babiller mais après à l'aise avec le casque. Miroir RAS. </t>
  </si>
  <si>
    <t xml:space="preserve">CHECK? LOUISE ENTEND REPISSE</t>
  </si>
  <si>
    <t>1m10</t>
  </si>
  <si>
    <t xml:space="preserve">Douce, belle, joyeuse, communicative</t>
  </si>
  <si>
    <t xml:space="preserve">Bébé a du mal à se faire au casque mais une fois calmé, babille beaucoup ! </t>
  </si>
  <si>
    <t>3m59</t>
  </si>
  <si>
    <t xml:space="preserve">Souriante, curieuse, calme</t>
  </si>
  <si>
    <t xml:space="preserve">Bébé à l'aise, vocalise rapidement. RAS. Test du miroir ok. </t>
  </si>
  <si>
    <t>1m00</t>
  </si>
  <si>
    <t xml:space="preserve">Facile à vivre, s'adapte bien</t>
  </si>
  <si>
    <t xml:space="preserve">Bébé pleure beaucoup après la transformation de la voix, un peu de repisse au début et à la fin de la modif de voix. </t>
  </si>
  <si>
    <t xml:space="preserve">repisse and fussy</t>
  </si>
  <si>
    <t xml:space="preserve">Bébé à l'aise, vocalise bien. Check repisse car oreille partiellement visible à la fin de la passation - peut etre casque malmis. 1 vocalisation à cheval entre BL et EXP</t>
  </si>
  <si>
    <t>CHECK</t>
  </si>
  <si>
    <t>1m28</t>
  </si>
  <si>
    <t xml:space="preserve">Bébé à l'aise, vocalise bien. Beaucoup de rires au début. </t>
  </si>
  <si>
    <t xml:space="preserve">repisse d'après F et L</t>
  </si>
  <si>
    <t xml:space="preserve">Bébé ne vocalise pas, pas du tout à l'aise</t>
  </si>
  <si>
    <t xml:space="preserve">Bébé très à l'aise, vocalise beaucoup et se regarde bien dans le miroir.</t>
  </si>
  <si>
    <t>1m45</t>
  </si>
  <si>
    <t xml:space="preserve">Bébé très à l'aise, vocalise beaucoup. Se regarde bien devant le miroir.</t>
  </si>
  <si>
    <t xml:space="preserve">Bébé n'est pas à l'aise, bouge beaucoup, pleure un peu puis enlève son casque. Test du miroir OK</t>
  </si>
  <si>
    <t xml:space="preserve">Bébé ne vocalise pas puis pleure beaucoup donc arrêt du test en cours de route. </t>
  </si>
  <si>
    <t>0m55</t>
  </si>
  <si>
    <t xml:space="preserve">Très curieux, avec beaucoup d'énergie</t>
  </si>
  <si>
    <t xml:space="preserve">1er essai avec pleurs parce que BB avait faim puis 2e fois BB très à l'aise et babille beaucoup</t>
  </si>
  <si>
    <t xml:space="preserve">Bébé fatigué, pas à l'aise, ne babille pas puis pleure + Ne regarde pas le miroir</t>
  </si>
  <si>
    <t xml:space="preserve">Bébé à l'aise au début mais pleure dès que l'on a allumé le micro. </t>
  </si>
  <si>
    <t xml:space="preserve">heureuse, sociale, elle se fache aussi, a un peu de charactère, un peu goule, curieuse</t>
  </si>
  <si>
    <t xml:space="preserve">1er essai très court et des pleurs parce que elle avait faim; 2ème ok jusqu'à la dernière vocalisation, que j'ai entendue très forte sans casque! peut etre ça était le casque malplacé pour un moment et le son est sorti du casque bébé? On n'était pas encore arrivé à la modification. J'ai arrété et essayé la volume et elle me semblait un peu haute, donc j'ai baissé 'audio input'. 3ème essaie, c'est passé bien et bébé à l'aise, mais en ayant baissé le volume sur David avant de commencer on devrait checker. C'est drole parce que le volume check avant de commencer était ok et les paramètres BB était bien mis. Check volume on MB computer. SON BAISSÉ EN BL PUIS AUGMENTATION DU VOLUME AUTOMATIQUE LORS DU CHANGEMENT DE PRESET EN PHASE EXP.</t>
  </si>
  <si>
    <t xml:space="preserve">il avait très chaud, bébé pleurait</t>
  </si>
  <si>
    <t xml:space="preserve">fantastique, eveillée, cummunicante, elle sait ce au'elle veut</t>
  </si>
  <si>
    <t xml:space="preserve">bébé avait chaud; aussi volume du casque est haut (pc margherita), peut etre çca derange les bébés, on a essayé avec l'ordi de Fannie est le volume est un peu moins haut masi haut quand meme. </t>
  </si>
  <si>
    <t xml:space="preserve">Pas venu </t>
  </si>
  <si>
    <t>1m43</t>
  </si>
  <si>
    <t xml:space="preserve">88 excl</t>
  </si>
  <si>
    <t xml:space="preserve">Super bébé, ne dors pas beaucoup</t>
  </si>
  <si>
    <t xml:space="preserve">bébé babille beaucoup sans que la mère n'ai besoin de parler. très à l'aise et attentif lors de la tâche du miroir.</t>
  </si>
  <si>
    <t xml:space="preserve">55 excl</t>
  </si>
  <si>
    <t xml:space="preserve">Souriante, nerveuse, curieuse</t>
  </si>
  <si>
    <t xml:space="preserve">Bébé nécessite un petit temps d'adaptation puis babille bien. 2 vocalisations non transformées dans la phase exp. Miroir Ok mais BB fatigué.</t>
  </si>
  <si>
    <t>6m28</t>
  </si>
  <si>
    <t>?</t>
  </si>
  <si>
    <t xml:space="preserve">Souriant, calme, un peu bavard.</t>
  </si>
  <si>
    <t xml:space="preserve">Bébé ne vocalise pas beaucoup. Moins de 10 Vocs dans la phase EXP.  </t>
  </si>
  <si>
    <t xml:space="preserve">67 excl</t>
  </si>
  <si>
    <t xml:space="preserve">Il est grâcieux, souriant, il est facile et un peu bavard en ce moment.</t>
  </si>
  <si>
    <t xml:space="preserve">Peu de vocalisations, 2 vocalisations modifiées seulement. </t>
  </si>
  <si>
    <t>1m25</t>
  </si>
  <si>
    <t xml:space="preserve">La charmeuse, très souriante, dort beaucoup plus que son frère.</t>
  </si>
  <si>
    <t xml:space="preserve">Bcp de vocalisation, bb s'enerve rapidement mais les 10 vocs modifiées sont enregistrées de justesse. Très intéréssé par le miroir</t>
  </si>
  <si>
    <t xml:space="preserve">BB vocalise mais s'enerve rapidement, peut-être faisait-il trop chaud dans la pièce ?... Très interessé par le miroir</t>
  </si>
  <si>
    <t>3m40</t>
  </si>
  <si>
    <t xml:space="preserve">Pénible, moins facile que sa soeur, très attachée à sa maman</t>
  </si>
  <si>
    <t xml:space="preserve">BB met un peu de temps à vocalise mais finit par être à l'aise. très peu interessé par le miroir.</t>
  </si>
  <si>
    <t xml:space="preserve">BB peu à l'aise avec le casque. Difficulté à le garder sur la tête sans pleurer. Expé pas terminée. </t>
  </si>
  <si>
    <t xml:space="preserve">89 excl</t>
  </si>
  <si>
    <t xml:space="preserve">BB n'aime pas le casque, ne babille pas + arrêt de l'enregistrement avant la fin</t>
  </si>
  <si>
    <t xml:space="preserve">Active réactive, dort pas beacuoup</t>
  </si>
  <si>
    <t xml:space="preserve">elle a pleuré au début mais elle a eu son gouter et après c'est passé bien</t>
  </si>
  <si>
    <t xml:space="preserve">Facile à vivre, temperament gai, souriant</t>
  </si>
  <si>
    <t xml:space="preserve">pleuré au début (pas encore modif), il a pris son gouter et après c'est passé super vite, BL &amp; EXP dans 1m36. BB et parents très à l'aise. Cameras pas re-allumées après le gouter, oui pendant le miroir. Bcp de long vocalisations  </t>
  </si>
  <si>
    <t>1m15</t>
  </si>
  <si>
    <t xml:space="preserve">Elle est fantastique, eveillée, communicante, elle sait ce qu'elle veut</t>
  </si>
  <si>
    <t xml:space="preserve">Bébé à l'aise, babille facilement et supporte bien le casque. </t>
  </si>
  <si>
    <t>0m36</t>
  </si>
  <si>
    <t xml:space="preserve">CHECK REPISSE (Marg: oui sur les 4 vocs finales + une autre)</t>
  </si>
  <si>
    <t xml:space="preserve">Sympa, souriante, charmeuse</t>
  </si>
  <si>
    <t xml:space="preserve">Bébé babille beaucoup ! Premier essai avec repisse puis deuxieme essai A VERIFIER LA REPISSE</t>
  </si>
  <si>
    <t>1m36</t>
  </si>
  <si>
    <t xml:space="preserve">Tonique, dynamique, souriante et agréable</t>
  </si>
  <si>
    <t xml:space="preserve">Bébé babille beaucoup petite pause après la reco vocale pour donner à manger puis reco visuelle.</t>
  </si>
  <si>
    <t xml:space="preserve">très éveille et curieux, a l'afflut de tout, aime bouger, se mettre sur le ventre et explorer</t>
  </si>
  <si>
    <t xml:space="preserve">bébé très heureux très souriant</t>
  </si>
  <si>
    <t xml:space="preserve">Bébé fatigué, pas à l'aise, pleure rapidement.</t>
  </si>
  <si>
    <t xml:space="preserve">Bébé fatigué l'étude n'est pas menée jusqu'au bout. </t>
  </si>
  <si>
    <t xml:space="preserve">Pas de données, le bébé n'a pas accepté de porter le casque mais a fait la tâche du miroir.</t>
  </si>
  <si>
    <t xml:space="preserve">Bébé a un peu vocalisé puis pleuré donc arrêt avant la fin. Arrêt en milieu de phase BL</t>
  </si>
  <si>
    <t>1m07</t>
  </si>
  <si>
    <t xml:space="preserve">plutôt zen, très agréable à vivre, aime les interactions, très curieuse</t>
  </si>
  <si>
    <t xml:space="preserve">bébé très à l'aise, très souriante, supporte bien le casque, vocalise bcp. Deplacée du dos au ventre vers la fin de la phase EXP, tient bien droite. Soeur était présente. Maman à l'aise. Interessée par le miroir.</t>
  </si>
  <si>
    <t>1m18</t>
  </si>
  <si>
    <t xml:space="preserve">souriante, bien eveillée, ouverte, a son charactère</t>
  </si>
  <si>
    <t xml:space="preserve">bb à l'aise, on entend son sortir du casque pendant la phase EXP donc on s'arrête pour ajouter le casque et puis on recommence</t>
  </si>
  <si>
    <t>2m13</t>
  </si>
  <si>
    <t xml:space="preserve">très souriante, parle beaucoup, comprend les règles chez la nounou mais à la maison elle fait comme elle veut, rigole</t>
  </si>
  <si>
    <t xml:space="preserve">bb à l'aise</t>
  </si>
  <si>
    <t>1m09</t>
  </si>
  <si>
    <t xml:space="preserve">hyper heveillée, dynamique, souriante, coquine</t>
  </si>
  <si>
    <t xml:space="preserve">bb à l'aise, vocalise pas mal et rigole beaucoup </t>
  </si>
  <si>
    <t xml:space="preserve">douce, gentille, patiente, joue bien toute seule</t>
  </si>
  <si>
    <t xml:space="preserve">NO DATA - fichier audio introuvable -- un peu enervée au début mais tournée sur le ventre elle était bien. Un peu silencieuse après le casque.</t>
  </si>
  <si>
    <t>0m45</t>
  </si>
  <si>
    <t xml:space="preserve">joyeux, régulier, gourmand </t>
  </si>
  <si>
    <t xml:space="preserve">bb à l'aise, babille beaucoup</t>
  </si>
  <si>
    <t>2m55</t>
  </si>
  <si>
    <t xml:space="preserve">Sociable,souriante, facile à vivre</t>
  </si>
  <si>
    <t xml:space="preserve">bb silencieux au départ puis rigole beaucoup ! (drôles de rires)</t>
  </si>
  <si>
    <t>4m46</t>
  </si>
  <si>
    <t xml:space="preserve">calme, souriant,facile à vivre, il est cool, un peu patapouf</t>
  </si>
  <si>
    <t xml:space="preserve">BB babille beaucou quand il est à l'aise, pause de quelques minutes au milieu. Miroir ok</t>
  </si>
  <si>
    <t>12/11/1014</t>
  </si>
  <si>
    <t>6m58</t>
  </si>
  <si>
    <t xml:space="preserve">energique, gros caractère, aime les interactions, elle sait ce qu'elle veut</t>
  </si>
  <si>
    <t xml:space="preserve">BB pas très à l'aise avec le casque mais son papa a reussi à la distraire et la faire babiller. </t>
  </si>
  <si>
    <t>3m43</t>
  </si>
  <si>
    <t xml:space="preserve">souriant, calm</t>
  </si>
  <si>
    <t xml:space="preserve">BB souriant, à l'aise, silencieu au départ. Maman à l'aise.</t>
  </si>
  <si>
    <t>0m53</t>
  </si>
  <si>
    <t xml:space="preserve">joyeuse, bavarde, pipelette, très sage</t>
  </si>
  <si>
    <t xml:space="preserve">BB à l'aise, vocalise beaucoup</t>
  </si>
  <si>
    <t>1m30</t>
  </si>
  <si>
    <t xml:space="preserve">Tonique, curieux, vigilant, sait ce qu'il veut, très souriant</t>
  </si>
  <si>
    <t xml:space="preserve">BB à l'aise, arrêt un peu tot de la phase EXP car agacement de bb</t>
  </si>
  <si>
    <t>0m49</t>
  </si>
  <si>
    <t xml:space="preserve"> </t>
  </si>
  <si>
    <t xml:space="preserve">Pleine de vie, très joyeuse, souriante, cherche l'attention, il ne faut pas être très loin d'elle , adorable</t>
  </si>
  <si>
    <t xml:space="preserve">BB à l'aise, vocalise beaucoup en phase exp</t>
  </si>
  <si>
    <t>04m30</t>
  </si>
  <si>
    <t xml:space="preserve">très souriante, aime le chahut de ses frères, facile</t>
  </si>
  <si>
    <t xml:space="preserve">BB très silencieuse, proche de sa sieste - fatiguée. Elle était tranquille, commence a pleurer vers la fin donc on a arreté, peut être à 8 vocs en phase EXP. </t>
  </si>
  <si>
    <t xml:space="preserve">BB102 EXCLU</t>
  </si>
  <si>
    <t xml:space="preserve">facile, gracieuse, mange bien, dort bien, grandit</t>
  </si>
  <si>
    <t xml:space="preserve">BB confortable vocalise beaucoup, mais à la voix cassée à cause d'une maladie saisonniere recente. </t>
  </si>
  <si>
    <t xml:space="preserve">D'après la mère bb n'aime pas porter de casque et effectivement elle n'etait pas à l'aise et à pleuré rapidement. Donc arrêt de l'étude. </t>
  </si>
  <si>
    <t>3m14</t>
  </si>
  <si>
    <t xml:space="preserve">curieux, besoin de stimulation, adorable</t>
  </si>
  <si>
    <t xml:space="preserve">silencieux au début. Casque glissait donc replacé. Légérement fussy au milieu pour qq seconds mais pas de pleurs, très bavard après</t>
  </si>
  <si>
    <t xml:space="preserve">BB tranquille au début mais s'est mise à pleurer. Papa dit qu'elle n'aime pas le casque antibruit nonplus</t>
  </si>
  <si>
    <t>4m50</t>
  </si>
  <si>
    <t xml:space="preserve">plutot calme, observe son monde, curieux, calme, facile (facilement le confier à quelqu'un d'autre, facilement adaptable)</t>
  </si>
  <si>
    <t xml:space="preserve">BB un peu timide au début mais babille bien après quelques minutes.</t>
  </si>
  <si>
    <t xml:space="preserve">bb ne supporte pas le casque pleure à chaque fois qu'on lui pose le casque sur les oreilles. </t>
  </si>
  <si>
    <t>2m37</t>
  </si>
  <si>
    <t xml:space="preserve">coquine, souriante, elle sait ce qu'elle veut et sait se faire comprendre, curieuse</t>
  </si>
  <si>
    <t xml:space="preserve">bb à l'aise, très souriante</t>
  </si>
  <si>
    <t>3m03</t>
  </si>
  <si>
    <t xml:space="preserve">Très curieux, sociable, sourit, sait se faire entendre (râle ou pleurniche vite)</t>
  </si>
  <si>
    <t xml:space="preserve">bb pleure un peu puis se calme et babille bien. La maman parle en même temps que lui en phase exp, la modif risque d'être pas très bien segmentée </t>
  </si>
  <si>
    <t>0m59</t>
  </si>
  <si>
    <t xml:space="preserve">Curieux, joyeux</t>
  </si>
  <si>
    <t xml:space="preserve">BB malade mais rdv maintenu. Il a beaucoup pleuré dès qu'on lui a mis le casque. Pas d'enregistrement. Il avait l'air bien fatigué.  </t>
  </si>
  <si>
    <t>2m39</t>
  </si>
  <si>
    <t xml:space="preserve">CHECK dernniere voc</t>
  </si>
  <si>
    <t xml:space="preserve">très calme, très souriant, aime beaucoup les câlins</t>
  </si>
  <si>
    <t xml:space="preserve">BB calme tranquille et rigole et vocalise beaucoup</t>
  </si>
  <si>
    <t>2m04</t>
  </si>
  <si>
    <t>,</t>
  </si>
  <si>
    <t xml:space="preserve">Il comprend beaucoup de choses, devine beaucoup de choses, malin, sait se faire comprendre </t>
  </si>
  <si>
    <t xml:space="preserve">bb très souriant, vocalise beaucoup, maman dit qu'il a l'aire de bien aimer</t>
  </si>
  <si>
    <t xml:space="preserve">bb pleure dès qu'on lui met le casque.</t>
  </si>
  <si>
    <t xml:space="preserve">bb pleure au bout de quelques dizaines de secondes donc arrêt enregistrement au début. </t>
  </si>
  <si>
    <t xml:space="preserve">ok phase BL, mais commence à pleurer. BB a un eczema près du micro, essaye à se gratter et arrive à enlever la couverture du micro plusieures fois.  </t>
  </si>
  <si>
    <t xml:space="preserve">ok phase BL, mais commence à pleurer. Première fois qu'elle met un casque</t>
  </si>
  <si>
    <t xml:space="preserve">bb souriante, à l'aise (legerement perturbée par casque au tout début mais une fois installée elle était souriante). Mère a voulu terminer car bb ne vocalisait pas et elle ne pensait pas qu'elle allait le faire parce qu'elle dit qu'elle vocalise plutôt toute seule. J'ai pas voulu trop insister.</t>
  </si>
  <si>
    <t xml:space="preserve">souriant, calme, éveillé</t>
  </si>
  <si>
    <t xml:space="preserve">bb souriant, à l'aise, s'aggace un peu sur la fin de l'enregistrement donc arrêt de l'enregistrement mais nous avions de toute façon assez de vocs pour terminer. DONNEES PERDUES !!</t>
  </si>
  <si>
    <t>0m27</t>
  </si>
  <si>
    <t xml:space="preserve">Souriante, adorable, caline</t>
  </si>
  <si>
    <t xml:space="preserve">bb très à l'aise, vocalise beaucoup </t>
  </si>
  <si>
    <t xml:space="preserve">très active, tonique, dort peu, très vive, très intéressée, quand elle a pas envie elle le fait comprendre</t>
  </si>
  <si>
    <t xml:space="preserve">bb à l'aise. </t>
  </si>
  <si>
    <t>1m02</t>
  </si>
  <si>
    <t xml:space="preserve">calme, souriant, facile</t>
  </si>
  <si>
    <t>1m03</t>
  </si>
  <si>
    <t xml:space="preserve">PAS DE DESCRIPTION</t>
  </si>
  <si>
    <t xml:space="preserve">bb et papa à l'aise, vocalise pas mal et assez rapidement. </t>
  </si>
  <si>
    <t xml:space="preserve">bb à l'aise puis se met à pleurer beaucoup, elle avait faim puis était fatiguée donc arret des études.</t>
  </si>
  <si>
    <t xml:space="preserve">bb pleure du départ, même pas essayé à mettre le casque; miroir ok; ok pour étude à domicile</t>
  </si>
  <si>
    <t xml:space="preserve">bb pleure du départ; ok pour étude à domicile </t>
  </si>
  <si>
    <t>4m10</t>
  </si>
  <si>
    <t>2m00</t>
  </si>
  <si>
    <t>3m19</t>
  </si>
  <si>
    <t xml:space="preserve">Pas de miroir + caméra 1 uniquement</t>
  </si>
  <si>
    <t xml:space="preserve">bébé fatigué, pleurs pour le miroir et pleurs pour babillage puis s'endort.</t>
  </si>
  <si>
    <t xml:space="preserve">bébé refuse casque</t>
  </si>
  <si>
    <t xml:space="preserve">bébé accepte le casque mais ne vocalise pas du tout après 10 minutes</t>
  </si>
  <si>
    <t xml:space="preserve">bébé pas fan du casque, pleurait déjà à l'accueil</t>
  </si>
  <si>
    <t>1m35</t>
  </si>
  <si>
    <t xml:space="preserve">calme, s'occupe tout seul mais aime aussi les intéractions sociales.</t>
  </si>
  <si>
    <t xml:space="preserve">bébé souriant et à l'aise, vocalise beaucoup. Nez un peu bouché. + Caméra 1 uniquement</t>
  </si>
  <si>
    <t xml:space="preserve">souriant, ne pleure pas, dort bien</t>
  </si>
  <si>
    <t xml:space="preserve">bébé très souriant, à l'aise, vocalise bcp</t>
  </si>
  <si>
    <t xml:space="preserve">on a fait la phase BL, mais micro frottait très fort. Replacé le casque mais bébé l'a refusé après</t>
  </si>
  <si>
    <t xml:space="preserve">BB ok tout ok mais oubli de lancer l'enregistrement...</t>
  </si>
  <si>
    <t>2m18</t>
  </si>
  <si>
    <t>7m26</t>
  </si>
  <si>
    <t xml:space="preserve">BB silencieuse au début mais chatty après</t>
  </si>
  <si>
    <t xml:space="preserve">micro frotte un peu mais on entend bien les vocalisations. BB vocalise beaucoup, très souriant. </t>
  </si>
  <si>
    <t>0m38</t>
  </si>
  <si>
    <t xml:space="preserve">BB vocalise beaucoup. Angle vidéo à verifier pour miroir.</t>
  </si>
  <si>
    <t xml:space="preserve">Questionnaire 15 mois à envoyer avant fin Décembre</t>
  </si>
  <si>
    <t xml:space="preserve">Questionnaire 18 mois à envoyer avant fin Décembre</t>
  </si>
  <si>
    <t>BB_NB</t>
  </si>
  <si>
    <t>Contact_date</t>
  </si>
  <si>
    <t>Q18_OK</t>
  </si>
  <si>
    <t xml:space="preserve">Age exact </t>
  </si>
  <si>
    <t>Sexe</t>
  </si>
  <si>
    <t> </t>
  </si>
  <si>
    <t>Mailx2</t>
  </si>
  <si>
    <t xml:space="preserve">2 mails pdr</t>
  </si>
  <si>
    <t>Mailx1</t>
  </si>
  <si>
    <t xml:space="preserve">1 mail pdr</t>
  </si>
  <si>
    <t xml:space="preserve">Q18 </t>
  </si>
  <si>
    <t xml:space="preserve">questionnaire reçu</t>
  </si>
  <si>
    <t xml:space="preserve">F </t>
  </si>
  <si>
    <t xml:space="preserve">Introuvable dans la DB</t>
  </si>
  <si>
    <t xml:space="preserve">Erreur Q16m</t>
  </si>
  <si>
    <t>Cond</t>
  </si>
  <si>
    <t>total</t>
  </si>
  <si>
    <t xml:space="preserve">No data</t>
  </si>
  <si>
    <t>Total_3/6m</t>
  </si>
  <si>
    <t>9m</t>
  </si>
  <si>
    <t>Total</t>
  </si>
  <si>
    <t xml:space="preserve">3 mois</t>
  </si>
  <si>
    <t xml:space="preserve">6 mois </t>
  </si>
  <si>
    <t xml:space="preserve">condition neutre</t>
  </si>
  <si>
    <t>Ordre_Babylab</t>
  </si>
  <si>
    <t>Ordre_Miroir</t>
  </si>
  <si>
    <t xml:space="preserve">3 mois * 100</t>
  </si>
  <si>
    <t xml:space="preserve">3 mois * -100</t>
  </si>
  <si>
    <t xml:space="preserve">6 mois * 100</t>
  </si>
  <si>
    <t xml:space="preserve">6 mois * -100</t>
  </si>
  <si>
    <r>
      <rPr>
        <sz val="12"/>
        <rFont val="Liberation Serif"/>
      </rPr>
      <t xml:space="preserve">Monolingue (0/1) (</t>
    </r>
    <r>
      <rPr>
        <sz val="10"/>
        <rFont val="Arial"/>
      </rPr>
      <t xml:space="preserve">Est-ce que l’enfant est exposé à une autre langue que le français ? oui 1 ; non 0)</t>
    </r>
  </si>
  <si>
    <t xml:space="preserve">Maintient tête droite ? (oui : 1 ; non : 0)</t>
  </si>
  <si>
    <t xml:space="preserve">Tete (0/1)</t>
  </si>
  <si>
    <t xml:space="preserve">Assis (0/1/2/3)</t>
  </si>
  <si>
    <t xml:space="preserve">deplacement (0 : non ; 1 :  rampe ; 2 : marche)</t>
  </si>
  <si>
    <t xml:space="preserve">Vocalisations (0/1/2/3)</t>
  </si>
  <si>
    <t xml:space="preserve">Audition_pb? (0 :non ou 1 : oui)</t>
  </si>
  <si>
    <t xml:space="preserve">Description (noter texto ce qu’a dit le parent)</t>
  </si>
</sst>
</file>

<file path=xl/styles.xml><?xml version="1.0" encoding="utf-8"?>
<styleSheet xmlns="http://schemas.openxmlformats.org/spreadsheetml/2006/main" xmlns:mc="http://schemas.openxmlformats.org/markup-compatibility/2006" xmlns:x14="http://schemas.microsoft.com/office/spreadsheetml/2009/9/main" xmlns:x14ac="http://schemas.microsoft.com/office/spreadsheetml/2009/9/ac" xmlns:x16r2="http://schemas.microsoft.com/office/spreadsheetml/2015/02/main" mc:Ignorable="x14ac x16r2">
  <numFmts count="4">
    <numFmt numFmtId="164" formatCode="d/m/yyyy"/>
    <numFmt numFmtId="165" formatCode="dd/mm/yyyy"/>
    <numFmt numFmtId="166" formatCode="dd/mm/yy"/>
    <numFmt numFmtId="167" formatCode="dd-mmm"/>
  </numFmts>
  <fonts count="15">
    <font>
      <sz val="12.000000"/>
      <color theme="1"/>
      <name val="Calibri"/>
    </font>
    <font>
      <sz val="10.000000"/>
      <name val="Arial"/>
    </font>
    <font>
      <sz val="11.000000"/>
      <color theme="1"/>
      <name val="Calibri"/>
      <scheme val="minor"/>
    </font>
    <font>
      <sz val="11.000000"/>
      <color theme="0"/>
      <name val="Calibri"/>
      <scheme val="minor"/>
    </font>
    <font>
      <sz val="12.000000"/>
      <color theme="5" tint="0"/>
      <name val="Calibri"/>
    </font>
    <font>
      <sz val="12.000000"/>
      <name val="Calibri"/>
    </font>
    <font>
      <sz val="12.000000"/>
      <color indexed="2"/>
      <name val="Calibri"/>
    </font>
    <font>
      <sz val="10.000000"/>
      <color theme="1"/>
      <name val="Arial"/>
    </font>
    <font>
      <sz val="12.000000"/>
      <color rgb="FF00B050"/>
      <name val="Calibri"/>
    </font>
    <font>
      <sz val="12.000000"/>
      <color rgb="FFFF6D6D"/>
      <name val="Calibri"/>
    </font>
    <font>
      <b/>
      <sz val="12.000000"/>
      <color theme="0" tint="-0.499984740745262"/>
      <name val="Calibri"/>
    </font>
    <font>
      <sz val="12.000000"/>
      <color theme="0" tint="-0.499984740745262"/>
      <name val="Calibri"/>
    </font>
    <font>
      <b/>
      <sz val="12.000000"/>
      <color theme="1"/>
      <name val="Calibri"/>
    </font>
    <font>
      <b/>
      <sz val="12.000000"/>
      <color theme="1" tint="0.499984740745262"/>
      <name val="Calibri"/>
    </font>
    <font>
      <sz val="12.000000"/>
      <color theme="1" tint="0.499984740745262"/>
      <name val="Calibri"/>
    </font>
  </fonts>
  <fills count="27">
    <fill>
      <patternFill patternType="none"/>
    </fill>
    <fill>
      <patternFill patternType="gray125"/>
    </fill>
    <fill>
      <patternFill patternType="solid">
        <fgColor theme="4" tint="0.59999389629810485"/>
        <bgColor theme="4" tint="0.59999389629810485"/>
      </patternFill>
    </fill>
    <fill>
      <patternFill patternType="solid">
        <fgColor theme="4" tint="0.39997558519241921"/>
        <bgColor theme="4" tint="0.39997558519241921"/>
      </patternFill>
    </fill>
    <fill>
      <patternFill patternType="solid">
        <fgColor theme="8" tint="0.59999389629810485"/>
        <bgColor theme="8" tint="0.59999389629810485"/>
      </patternFill>
    </fill>
    <fill>
      <patternFill patternType="solid">
        <fgColor theme="0" tint="-0.14999847407452621"/>
        <bgColor theme="0" tint="-0.14999847407452621"/>
      </patternFill>
    </fill>
    <fill>
      <patternFill patternType="solid">
        <fgColor rgb="FFFBE4D5"/>
        <bgColor rgb="FFFBE4D5"/>
      </patternFill>
    </fill>
    <fill>
      <patternFill patternType="solid">
        <fgColor theme="9" tint="0.59989999999999999"/>
        <bgColor rgb="FFCCCCCC"/>
      </patternFill>
    </fill>
    <fill>
      <patternFill patternType="solid">
        <fgColor theme="5" tint="0.79998168889431442"/>
        <bgColor theme="5" tint="0.79998168889431442"/>
      </patternFill>
    </fill>
    <fill>
      <patternFill patternType="solid">
        <fgColor theme="2" tint="-0.14999847407452621"/>
        <bgColor theme="2" tint="-0.14999847407452621"/>
      </patternFill>
    </fill>
    <fill>
      <patternFill patternType="solid">
        <fgColor rgb="FFD8D8D8"/>
        <bgColor rgb="FFD8D8D8"/>
      </patternFill>
    </fill>
    <fill>
      <patternFill patternType="solid">
        <fgColor theme="9" tint="0.79998168889431442"/>
        <bgColor theme="9" tint="0.79998168889431442"/>
      </patternFill>
    </fill>
    <fill>
      <patternFill patternType="solid">
        <fgColor rgb="FFE2EFDA"/>
        <bgColor rgb="FFE2EFDA"/>
      </patternFill>
    </fill>
    <fill>
      <patternFill patternType="solid">
        <fgColor rgb="FFE2EFD9"/>
        <bgColor rgb="FFE2EFD9"/>
      </patternFill>
    </fill>
    <fill>
      <patternFill patternType="solid">
        <fgColor rgb="FFB3C6E7"/>
        <bgColor rgb="FFB3C6E7"/>
      </patternFill>
    </fill>
    <fill>
      <patternFill patternType="solid">
        <fgColor theme="8" tint="0.59989999999999999"/>
        <bgColor rgb="FFCCCCCC"/>
      </patternFill>
    </fill>
    <fill>
      <patternFill patternType="solid">
        <fgColor rgb="FFB2B2B2"/>
        <bgColor rgb="FFB2B2B2"/>
      </patternFill>
    </fill>
    <fill>
      <patternFill patternType="solid">
        <fgColor rgb="FFAFD095"/>
        <bgColor rgb="FFAFD095"/>
      </patternFill>
    </fill>
    <fill>
      <patternFill patternType="solid">
        <fgColor rgb="FFFF6D6D"/>
        <bgColor rgb="FFFF6D6D"/>
      </patternFill>
    </fill>
    <fill>
      <patternFill patternType="solid">
        <fgColor rgb="FFA5A5A5"/>
        <bgColor rgb="FFA5A5A5"/>
      </patternFill>
    </fill>
    <fill>
      <patternFill patternType="solid">
        <fgColor rgb="FFFF6D6D"/>
        <bgColor indexed="53"/>
      </patternFill>
    </fill>
    <fill>
      <patternFill patternType="solid">
        <fgColor rgb="FFFFB66C"/>
        <bgColor indexed="45"/>
      </patternFill>
    </fill>
    <fill>
      <patternFill patternType="solid">
        <fgColor rgb="FFAFD095"/>
        <bgColor rgb="FFC5E0B4"/>
      </patternFill>
    </fill>
    <fill>
      <patternFill patternType="solid">
        <fgColor rgb="FFA9D08E"/>
        <bgColor rgb="FFA9D08E"/>
      </patternFill>
    </fill>
    <fill>
      <patternFill patternType="solid">
        <fgColor theme="0" tint="-0.249977111117893"/>
        <bgColor theme="0" tint="-0.249977111117893"/>
      </patternFill>
    </fill>
    <fill>
      <patternFill patternType="solid">
        <fgColor theme="7" tint="0.79998168889431442"/>
        <bgColor theme="7" tint="0.79998168889431442"/>
      </patternFill>
    </fill>
    <fill>
      <patternFill patternType="solid">
        <fgColor rgb="FFFFB66C"/>
        <bgColor rgb="FFFFB66C"/>
      </patternFill>
    </fill>
  </fills>
  <borders count="1">
    <border>
      <left style="none"/>
      <right style="none"/>
      <top style="none"/>
      <bottom style="none"/>
      <diagonal style="none"/>
    </border>
  </borders>
  <cellStyleXfs count="9">
    <xf fontId="0" fillId="0" borderId="0" numFmtId="0" applyNumberFormat="1" applyFont="1" applyFill="1" applyBorder="1" applyProtection="1">
      <protection hidden="0" locked="1"/>
    </xf>
    <xf fontId="1" fillId="0" borderId="0" numFmtId="43" applyNumberFormat="1" applyFont="1" applyFill="1" applyBorder="0" applyProtection="0"/>
    <xf fontId="1" fillId="0" borderId="0" numFmtId="41" applyNumberFormat="1" applyFont="1" applyFill="1" applyBorder="0" applyProtection="0"/>
    <xf fontId="1" fillId="0" borderId="0" numFmtId="44" applyNumberFormat="1" applyFont="1" applyFill="1" applyBorder="0" applyProtection="0"/>
    <xf fontId="1" fillId="0" borderId="0" numFmtId="42" applyNumberFormat="1" applyFont="1" applyFill="1" applyBorder="0" applyProtection="0"/>
    <xf fontId="1" fillId="0" borderId="0" numFmtId="9" applyNumberFormat="1" applyFont="1" applyFill="1" applyBorder="0" applyProtection="0"/>
    <xf fontId="2" fillId="2" borderId="0" numFmtId="0" applyNumberFormat="0" applyFont="1" applyFill="1" applyBorder="0"/>
    <xf fontId="3" fillId="3" borderId="0" numFmtId="0" applyNumberFormat="0" applyFont="1" applyFill="1" applyBorder="0"/>
    <xf fontId="2" fillId="4" borderId="0" numFmtId="0" applyNumberFormat="0" applyFont="1" applyFill="1" applyBorder="0"/>
  </cellStyleXfs>
  <cellXfs count="171">
    <xf fontId="0" fillId="0" borderId="0" numFmtId="0" xfId="0" applyProtection="0">
      <protection hidden="0" locked="1"/>
    </xf>
    <xf fontId="0" fillId="0" borderId="0" numFmtId="0" xfId="0" applyAlignment="1" applyProtection="1">
      <alignment horizontal="center"/>
      <protection hidden="0" locked="1"/>
    </xf>
    <xf fontId="0" fillId="0" borderId="0" numFmtId="0" xfId="0" applyProtection="1">
      <protection hidden="0" locked="1"/>
    </xf>
    <xf fontId="4" fillId="0" borderId="0" numFmtId="0" xfId="0" applyFont="1" applyProtection="1">
      <protection hidden="0" locked="1"/>
    </xf>
    <xf fontId="0" fillId="0" borderId="0" numFmtId="164" xfId="0" applyNumberFormat="1" applyAlignment="1" applyProtection="1">
      <alignment horizontal="center"/>
      <protection hidden="0" locked="1"/>
    </xf>
    <xf fontId="0" fillId="0" borderId="0" numFmtId="164" xfId="0" applyNumberFormat="1" applyProtection="1">
      <protection hidden="0" locked="1"/>
    </xf>
    <xf fontId="0" fillId="5" borderId="0" numFmtId="0" xfId="0" applyFill="1" applyProtection="0">
      <protection hidden="0" locked="1"/>
    </xf>
    <xf fontId="0" fillId="5" borderId="0" numFmtId="0" xfId="0" applyFill="1" applyAlignment="1" applyProtection="1">
      <alignment horizontal="center"/>
      <protection hidden="0" locked="1"/>
    </xf>
    <xf fontId="0" fillId="5" borderId="0" numFmtId="164" xfId="0" applyNumberFormat="1" applyFill="1" applyAlignment="1" applyProtection="1">
      <alignment horizontal="center"/>
      <protection hidden="0" locked="1"/>
    </xf>
    <xf fontId="0" fillId="5" borderId="0" numFmtId="164" xfId="0" applyNumberFormat="1" applyFill="1" applyProtection="1">
      <protection hidden="0" locked="1"/>
    </xf>
    <xf fontId="0" fillId="5" borderId="0" numFmtId="0" xfId="0" applyFill="1" applyProtection="1">
      <protection hidden="0" locked="1"/>
    </xf>
    <xf fontId="4" fillId="5" borderId="0" numFmtId="0" xfId="0" applyFont="1" applyFill="1" applyProtection="1">
      <protection hidden="0" locked="1"/>
    </xf>
    <xf fontId="0" fillId="5" borderId="0" numFmtId="165" xfId="0" applyNumberFormat="1" applyFill="1" applyProtection="1">
      <protection hidden="0" locked="1"/>
    </xf>
    <xf fontId="0" fillId="2" borderId="0" numFmtId="0" xfId="0" applyFill="1" applyProtection="0">
      <protection hidden="0" locked="1"/>
    </xf>
    <xf fontId="0" fillId="2" borderId="0" numFmtId="0" xfId="0" applyFill="1" applyAlignment="1" applyProtection="1">
      <alignment horizontal="center"/>
      <protection hidden="0" locked="1"/>
    </xf>
    <xf fontId="0" fillId="2" borderId="0" numFmtId="164" xfId="0" applyNumberFormat="1" applyFill="1" applyAlignment="1" applyProtection="1">
      <alignment horizontal="center"/>
      <protection hidden="0" locked="1"/>
    </xf>
    <xf fontId="0" fillId="2" borderId="0" numFmtId="164" xfId="0" applyNumberFormat="1" applyFill="1" applyProtection="1">
      <protection hidden="0" locked="1"/>
    </xf>
    <xf fontId="0" fillId="2" borderId="0" numFmtId="0" xfId="0" applyFill="1" applyProtection="1">
      <protection hidden="0" locked="1"/>
    </xf>
    <xf fontId="4" fillId="2" borderId="0" numFmtId="0" xfId="0" applyFont="1" applyFill="1" applyProtection="1">
      <protection hidden="0" locked="1"/>
    </xf>
    <xf fontId="0" fillId="6" borderId="0" numFmtId="0" xfId="0" applyFill="1" applyProtection="0">
      <protection hidden="0" locked="1"/>
    </xf>
    <xf fontId="0" fillId="6" borderId="0" numFmtId="0" xfId="0" applyFill="1" applyAlignment="1" applyProtection="1">
      <alignment horizontal="center"/>
      <protection hidden="0" locked="1"/>
    </xf>
    <xf fontId="0" fillId="6" borderId="0" numFmtId="164" xfId="0" applyNumberFormat="1" applyFill="1" applyAlignment="1" applyProtection="1">
      <alignment horizontal="center"/>
      <protection hidden="0" locked="1"/>
    </xf>
    <xf fontId="0" fillId="6" borderId="0" numFmtId="164" xfId="0" applyNumberFormat="1" applyFill="1" applyProtection="1">
      <protection hidden="0" locked="1"/>
    </xf>
    <xf fontId="0" fillId="6" borderId="0" numFmtId="0" xfId="0" applyFill="1" applyProtection="1">
      <protection hidden="0" locked="1"/>
    </xf>
    <xf fontId="0" fillId="7" borderId="0" numFmtId="164" xfId="0" applyNumberFormat="1" applyFill="1" applyProtection="1">
      <protection hidden="0" locked="1"/>
    </xf>
    <xf fontId="0" fillId="2" borderId="0" numFmtId="165" xfId="0" applyNumberFormat="1" applyFill="1" applyProtection="1">
      <protection hidden="0" locked="1"/>
    </xf>
    <xf fontId="0" fillId="2" borderId="0" numFmtId="165" xfId="0" applyNumberFormat="1" applyFill="1" applyAlignment="1" applyProtection="1">
      <alignment horizontal="center"/>
      <protection hidden="0" locked="1"/>
    </xf>
    <xf fontId="0" fillId="0" borderId="0" numFmtId="165" xfId="0" applyNumberFormat="1" applyAlignment="1" applyProtection="1">
      <alignment horizontal="center"/>
      <protection hidden="0" locked="1"/>
    </xf>
    <xf fontId="0" fillId="0" borderId="0" numFmtId="165" xfId="0" applyNumberFormat="1" applyProtection="1">
      <protection hidden="0" locked="1"/>
    </xf>
    <xf fontId="5" fillId="2" borderId="0" numFmtId="0" xfId="0" applyFont="1" applyFill="1" applyAlignment="1" applyProtection="1">
      <alignment horizontal="center"/>
      <protection hidden="0" locked="1"/>
    </xf>
    <xf fontId="5" fillId="2" borderId="0" numFmtId="165" xfId="0" applyNumberFormat="1" applyFont="1" applyFill="1" applyAlignment="1" applyProtection="1">
      <alignment horizontal="center"/>
      <protection hidden="0" locked="1"/>
    </xf>
    <xf fontId="5" fillId="2" borderId="0" numFmtId="165" xfId="0" applyNumberFormat="1" applyFont="1" applyFill="1" applyProtection="1">
      <protection hidden="0" locked="1"/>
    </xf>
    <xf fontId="5" fillId="2" borderId="0" numFmtId="0" xfId="0" applyFont="1" applyFill="1" applyProtection="1">
      <protection hidden="0" locked="1"/>
    </xf>
    <xf fontId="0" fillId="5" borderId="0" numFmtId="166" xfId="0" applyNumberFormat="1" applyFill="1" applyAlignment="1" applyProtection="1">
      <alignment horizontal="center"/>
      <protection hidden="0" locked="1"/>
    </xf>
    <xf fontId="0" fillId="5" borderId="0" numFmtId="166" xfId="0" applyNumberFormat="1" applyFill="1" applyProtection="1">
      <protection hidden="0" locked="1"/>
    </xf>
    <xf fontId="0" fillId="0" borderId="0" numFmtId="166" xfId="0" applyNumberFormat="1" applyAlignment="1" applyProtection="1">
      <alignment horizontal="center"/>
      <protection hidden="0" locked="1"/>
    </xf>
    <xf fontId="0" fillId="0" borderId="0" numFmtId="166" xfId="0" applyNumberFormat="1" applyProtection="1">
      <protection hidden="0" locked="1"/>
    </xf>
    <xf fontId="5" fillId="5" borderId="0" numFmtId="0" xfId="0" applyFont="1" applyFill="1" applyProtection="0">
      <protection hidden="0" locked="1"/>
    </xf>
    <xf fontId="5" fillId="5" borderId="0" numFmtId="0" xfId="0" applyFont="1" applyFill="1" applyAlignment="1" applyProtection="1">
      <alignment horizontal="center"/>
      <protection hidden="0" locked="1"/>
    </xf>
    <xf fontId="5" fillId="5" borderId="0" numFmtId="0" xfId="0" applyFont="1" applyFill="1" applyAlignment="1" applyProtection="0">
      <alignment horizontal="center"/>
      <protection hidden="0" locked="1"/>
    </xf>
    <xf fontId="5" fillId="5" borderId="0" numFmtId="166" xfId="0" applyNumberFormat="1" applyFont="1" applyFill="1" applyAlignment="1" applyProtection="1">
      <alignment horizontal="center"/>
      <protection hidden="0" locked="1"/>
    </xf>
    <xf fontId="5" fillId="5" borderId="0" numFmtId="166" xfId="0" applyNumberFormat="1" applyFont="1" applyFill="1" applyProtection="1">
      <protection hidden="0" locked="1"/>
    </xf>
    <xf fontId="5" fillId="5" borderId="0" numFmtId="0" xfId="0" applyFont="1" applyFill="1" applyProtection="1">
      <protection hidden="0" locked="1"/>
    </xf>
    <xf fontId="4" fillId="5" borderId="0" numFmtId="0" xfId="0" applyFont="1" applyFill="1" applyProtection="0">
      <protection hidden="0" locked="1"/>
    </xf>
    <xf fontId="0" fillId="2" borderId="0" numFmtId="0" xfId="0" applyFill="1" applyAlignment="1" applyProtection="0">
      <alignment horizontal="center"/>
      <protection hidden="0" locked="1"/>
    </xf>
    <xf fontId="0" fillId="2" borderId="0" numFmtId="166" xfId="0" applyNumberFormat="1" applyFill="1" applyAlignment="1" applyProtection="1">
      <alignment horizontal="center"/>
      <protection hidden="0" locked="1"/>
    </xf>
    <xf fontId="0" fillId="2" borderId="0" numFmtId="166" xfId="0" applyNumberFormat="1" applyFill="1" applyProtection="1">
      <protection hidden="0" locked="1"/>
    </xf>
    <xf fontId="4" fillId="2" borderId="0" numFmtId="0" xfId="0" applyFont="1" applyFill="1" applyProtection="0">
      <protection hidden="0" locked="1"/>
    </xf>
    <xf fontId="0" fillId="8" borderId="0" numFmtId="0" xfId="0" applyFill="1" applyProtection="0">
      <protection hidden="0" locked="1"/>
    </xf>
    <xf fontId="0" fillId="8" borderId="0" numFmtId="0" xfId="0" applyFill="1" applyAlignment="1" applyProtection="1">
      <alignment horizontal="center"/>
      <protection hidden="0" locked="1"/>
    </xf>
    <xf fontId="0" fillId="8" borderId="0" numFmtId="165" xfId="0" applyNumberFormat="1" applyFill="1" applyAlignment="1" applyProtection="1">
      <alignment horizontal="center"/>
      <protection hidden="0" locked="1"/>
    </xf>
    <xf fontId="0" fillId="8" borderId="0" numFmtId="165" xfId="0" applyNumberFormat="1" applyFill="1" applyProtection="1">
      <protection hidden="0" locked="1"/>
    </xf>
    <xf fontId="0" fillId="8" borderId="0" numFmtId="0" xfId="0" applyFill="1" applyProtection="1">
      <protection hidden="0" locked="1"/>
    </xf>
    <xf fontId="4" fillId="8" borderId="0" numFmtId="0" xfId="0" applyFont="1" applyFill="1" applyProtection="1">
      <protection hidden="0" locked="1"/>
    </xf>
    <xf fontId="0" fillId="8" borderId="0" numFmtId="0" xfId="0" applyFill="1" applyAlignment="1" applyProtection="0">
      <alignment horizontal="center"/>
      <protection hidden="0" locked="1"/>
    </xf>
    <xf fontId="6" fillId="8" borderId="0" numFmtId="0" xfId="0" applyFont="1" applyFill="1" applyAlignment="1" applyProtection="1">
      <alignment horizontal="center"/>
      <protection hidden="0" locked="1"/>
    </xf>
    <xf fontId="4" fillId="8" borderId="0" numFmtId="0" xfId="0" applyFont="1" applyFill="1" applyProtection="0">
      <protection hidden="0" locked="1"/>
    </xf>
    <xf fontId="0" fillId="0" borderId="0" numFmtId="0" xfId="0" applyAlignment="1" applyProtection="0">
      <alignment horizontal="center"/>
      <protection hidden="0" locked="1"/>
    </xf>
    <xf fontId="0" fillId="0" borderId="0" numFmtId="165" xfId="0" applyNumberFormat="1" applyAlignment="1" applyProtection="0">
      <alignment horizontal="center"/>
      <protection hidden="0" locked="1"/>
    </xf>
    <xf fontId="0" fillId="2" borderId="0" numFmtId="165" xfId="0" applyNumberFormat="1" applyFill="1" applyAlignment="1" applyProtection="0">
      <alignment horizontal="center"/>
      <protection hidden="0" locked="1"/>
    </xf>
    <xf fontId="6" fillId="5" borderId="0" numFmtId="0" xfId="0" applyFont="1" applyFill="1" applyAlignment="1" applyProtection="0">
      <alignment horizontal="center"/>
      <protection hidden="0" locked="1"/>
    </xf>
    <xf fontId="0" fillId="5" borderId="0" numFmtId="0" xfId="0" applyFill="1" applyAlignment="1" applyProtection="0">
      <alignment horizontal="center"/>
      <protection hidden="0" locked="1"/>
    </xf>
    <xf fontId="0" fillId="5" borderId="0" numFmtId="165" xfId="0" applyNumberFormat="1" applyFill="1" applyAlignment="1" applyProtection="1">
      <alignment horizontal="center"/>
      <protection hidden="0" locked="1"/>
    </xf>
    <xf fontId="7" fillId="5" borderId="0" numFmtId="165" xfId="0" applyNumberFormat="1" applyFont="1" applyFill="1" applyProtection="1"/>
    <xf fontId="6" fillId="8" borderId="0" numFmtId="0" xfId="0" applyFont="1" applyFill="1" applyAlignment="1" applyProtection="0">
      <alignment horizontal="center"/>
      <protection hidden="0" locked="1"/>
    </xf>
    <xf fontId="5" fillId="0" borderId="0" numFmtId="0" xfId="0" applyFont="1" applyAlignment="1" applyProtection="0">
      <alignment horizontal="center"/>
      <protection hidden="0" locked="1"/>
    </xf>
    <xf fontId="6" fillId="0" borderId="0" numFmtId="0" xfId="0" applyFont="1" applyProtection="0">
      <protection hidden="0" locked="1"/>
    </xf>
    <xf fontId="0" fillId="9" borderId="0" numFmtId="0" xfId="0" applyFill="1" applyAlignment="1" applyProtection="1">
      <alignment horizontal="center"/>
      <protection hidden="0" locked="1"/>
    </xf>
    <xf fontId="0" fillId="9" borderId="0" numFmtId="0" xfId="0" applyFill="1" applyAlignment="1" applyProtection="0">
      <alignment horizontal="center"/>
      <protection hidden="0" locked="1"/>
    </xf>
    <xf fontId="0" fillId="9" borderId="0" numFmtId="165" xfId="0" applyNumberFormat="1" applyFill="1" applyAlignment="1" applyProtection="1">
      <alignment horizontal="center"/>
      <protection hidden="0" locked="1"/>
    </xf>
    <xf fontId="0" fillId="9" borderId="0" numFmtId="0" xfId="0" applyFill="1" applyProtection="1">
      <protection hidden="0" locked="1"/>
    </xf>
    <xf fontId="0" fillId="9" borderId="0" numFmtId="0" xfId="0" applyFill="1" applyProtection="0">
      <protection hidden="0" locked="1"/>
    </xf>
    <xf fontId="4" fillId="9" borderId="0" numFmtId="0" xfId="0" applyFont="1" applyFill="1" applyProtection="1">
      <protection hidden="0" locked="1"/>
    </xf>
    <xf fontId="8" fillId="0" borderId="0" numFmtId="0" xfId="0" applyFont="1" applyAlignment="1" applyProtection="0">
      <alignment horizontal="center"/>
      <protection hidden="0" locked="1"/>
    </xf>
    <xf fontId="8" fillId="0" borderId="0" numFmtId="0" xfId="0" applyFont="1" applyProtection="1">
      <protection hidden="0" locked="1"/>
    </xf>
    <xf fontId="8" fillId="0" borderId="0" numFmtId="0" xfId="0" applyFont="1" applyProtection="0">
      <protection hidden="0" locked="1"/>
    </xf>
    <xf fontId="6" fillId="0" borderId="0" numFmtId="0" xfId="0" applyFont="1" applyAlignment="1" applyProtection="1">
      <alignment horizontal="center"/>
      <protection hidden="0" locked="1"/>
    </xf>
    <xf fontId="0" fillId="8" borderId="0" numFmtId="164" xfId="0" applyNumberFormat="1" applyFill="1" applyAlignment="1" applyProtection="1">
      <alignment horizontal="center"/>
      <protection hidden="0" locked="1"/>
    </xf>
    <xf fontId="0" fillId="8" borderId="0" numFmtId="164" xfId="0" applyNumberFormat="1" applyFill="1" applyProtection="1">
      <protection hidden="0" locked="1"/>
    </xf>
    <xf fontId="6" fillId="8" borderId="0" numFmtId="0" xfId="0" applyFont="1" applyFill="1" applyProtection="0">
      <protection hidden="0" locked="1"/>
    </xf>
    <xf fontId="7" fillId="2" borderId="0" numFmtId="165" xfId="0" applyNumberFormat="1" applyFont="1" applyFill="1" applyProtection="1"/>
    <xf fontId="6" fillId="5" borderId="0" numFmtId="0" xfId="0" applyFont="1" applyFill="1" applyAlignment="1" applyProtection="1">
      <alignment horizontal="center"/>
      <protection hidden="0" locked="1"/>
    </xf>
    <xf fontId="0" fillId="10" borderId="0" numFmtId="0" xfId="0" applyFill="1" applyAlignment="1" applyProtection="1">
      <alignment horizontal="center"/>
      <protection hidden="0" locked="1"/>
    </xf>
    <xf fontId="7" fillId="0" borderId="0" numFmtId="165" xfId="0" applyNumberFormat="1" applyFont="1" applyProtection="1"/>
    <xf fontId="2" fillId="2" borderId="0" numFmtId="0" xfId="6" applyFont="1" applyFill="1" applyProtection="0">
      <protection hidden="0" locked="1"/>
    </xf>
    <xf fontId="2" fillId="2" borderId="0" numFmtId="0" xfId="6" applyFont="1" applyFill="1" applyAlignment="1" applyProtection="1">
      <alignment horizontal="center"/>
      <protection hidden="0" locked="1"/>
    </xf>
    <xf fontId="2" fillId="2" borderId="0" numFmtId="165" xfId="6" applyNumberFormat="1" applyFont="1" applyFill="1" applyAlignment="1" applyProtection="1">
      <alignment horizontal="center"/>
      <protection hidden="0" locked="1"/>
    </xf>
    <xf fontId="2" fillId="2" borderId="0" numFmtId="0" xfId="6" applyFont="1" applyFill="1" applyProtection="1">
      <protection hidden="0" locked="1"/>
    </xf>
    <xf fontId="0" fillId="11" borderId="0" numFmtId="0" xfId="0" applyFill="1" applyProtection="0">
      <protection hidden="0" locked="1"/>
    </xf>
    <xf fontId="0" fillId="11" borderId="0" numFmtId="0" xfId="0" applyFill="1" applyAlignment="1" applyProtection="1">
      <alignment horizontal="center"/>
      <protection hidden="0" locked="1"/>
    </xf>
    <xf fontId="0" fillId="11" borderId="0" numFmtId="165" xfId="0" applyNumberFormat="1" applyFill="1" applyAlignment="1" applyProtection="1">
      <alignment horizontal="center"/>
      <protection hidden="0" locked="1"/>
    </xf>
    <xf fontId="0" fillId="11" borderId="0" numFmtId="165" xfId="0" applyNumberFormat="1" applyFill="1" applyProtection="1">
      <protection hidden="0" locked="1"/>
    </xf>
    <xf fontId="0" fillId="11" borderId="0" numFmtId="165" xfId="0" applyNumberFormat="1" applyFill="1" applyProtection="0">
      <protection hidden="0" locked="1"/>
    </xf>
    <xf fontId="5" fillId="12" borderId="0" numFmtId="0" xfId="0" applyFont="1" applyFill="1" applyAlignment="1" applyProtection="0">
      <alignment horizontal="right"/>
      <protection hidden="0" locked="1"/>
    </xf>
    <xf fontId="0" fillId="11" borderId="0" numFmtId="0" xfId="0" applyFill="1" applyProtection="1">
      <protection hidden="0" locked="1"/>
    </xf>
    <xf fontId="5" fillId="5" borderId="0" numFmtId="0" xfId="0" applyFont="1" applyFill="1" applyAlignment="1" applyProtection="1">
      <alignment horizontal="right"/>
      <protection hidden="0" locked="1"/>
    </xf>
    <xf fontId="5" fillId="0" borderId="0" numFmtId="0" xfId="0" applyFont="1" applyAlignment="1" applyProtection="1">
      <alignment horizontal="right"/>
      <protection hidden="0" locked="1"/>
    </xf>
    <xf fontId="5" fillId="0" borderId="0" numFmtId="2" xfId="0" applyNumberFormat="1" applyFont="1" applyAlignment="1" applyProtection="1">
      <alignment horizontal="right"/>
      <protection hidden="0" locked="1"/>
    </xf>
    <xf fontId="0" fillId="0" borderId="0" numFmtId="20" xfId="0" applyNumberFormat="1" applyProtection="1">
      <protection hidden="0" locked="1"/>
    </xf>
    <xf fontId="0" fillId="11" borderId="0" numFmtId="20" xfId="0" applyNumberFormat="1" applyFill="1" applyProtection="1">
      <protection hidden="0" locked="1"/>
    </xf>
    <xf fontId="0" fillId="10" borderId="0" numFmtId="0" xfId="0" applyFill="1" applyProtection="0">
      <protection hidden="0" locked="1"/>
    </xf>
    <xf fontId="0" fillId="10" borderId="0" numFmtId="165" xfId="0" applyNumberFormat="1" applyFill="1" applyAlignment="1" applyProtection="1">
      <alignment horizontal="center"/>
      <protection hidden="0" locked="1"/>
    </xf>
    <xf fontId="0" fillId="10" borderId="0" numFmtId="165" xfId="0" applyNumberFormat="1" applyFill="1" applyProtection="1">
      <protection hidden="0" locked="1"/>
    </xf>
    <xf fontId="0" fillId="10" borderId="0" numFmtId="0" xfId="0" applyFill="1" applyProtection="1">
      <protection hidden="0" locked="1"/>
    </xf>
    <xf fontId="0" fillId="10" borderId="0" numFmtId="20" xfId="0" applyNumberFormat="1" applyFill="1" applyProtection="1">
      <protection hidden="0" locked="1"/>
    </xf>
    <xf fontId="7" fillId="0" borderId="0" numFmtId="165" xfId="0" applyNumberFormat="1" applyFont="1" applyAlignment="1" applyProtection="1">
      <alignment horizontal="left"/>
    </xf>
    <xf fontId="7" fillId="13" borderId="0" numFmtId="165" xfId="0" applyNumberFormat="1" applyFont="1" applyFill="1" applyProtection="0"/>
    <xf fontId="0" fillId="14" borderId="0" numFmtId="0" xfId="0" applyFill="1" applyProtection="0">
      <protection hidden="0" locked="1"/>
    </xf>
    <xf fontId="0" fillId="14" borderId="0" numFmtId="0" xfId="0" applyFill="1" applyAlignment="1" applyProtection="1">
      <alignment horizontal="center"/>
      <protection hidden="0" locked="1"/>
    </xf>
    <xf fontId="0" fillId="14" borderId="0" numFmtId="165" xfId="0" applyNumberFormat="1" applyFill="1" applyAlignment="1" applyProtection="1">
      <alignment horizontal="center"/>
      <protection hidden="0" locked="1"/>
    </xf>
    <xf fontId="0" fillId="14" borderId="0" numFmtId="0" xfId="0" applyFill="1" applyProtection="1">
      <protection hidden="0" locked="1"/>
    </xf>
    <xf fontId="0" fillId="0" borderId="0" numFmtId="16" xfId="0" applyNumberFormat="1" applyAlignment="1" applyProtection="1">
      <alignment horizontal="center"/>
      <protection hidden="0" locked="1"/>
    </xf>
    <xf fontId="0" fillId="13" borderId="0" numFmtId="0" xfId="0" applyFill="1" applyProtection="0">
      <protection hidden="0" locked="1"/>
    </xf>
    <xf fontId="0" fillId="13" borderId="0" numFmtId="0" xfId="0" applyFill="1" applyAlignment="1" applyProtection="1">
      <alignment horizontal="center"/>
      <protection hidden="0" locked="1"/>
    </xf>
    <xf fontId="0" fillId="13" borderId="0" numFmtId="165" xfId="0" applyNumberFormat="1" applyFill="1" applyAlignment="1" applyProtection="1">
      <alignment horizontal="center"/>
      <protection hidden="0" locked="1"/>
    </xf>
    <xf fontId="7" fillId="13" borderId="0" numFmtId="165" xfId="0" applyNumberFormat="1" applyFont="1" applyFill="1" applyAlignment="1" applyProtection="0">
      <alignment horizontal="left"/>
    </xf>
    <xf fontId="0" fillId="13" borderId="0" numFmtId="165" xfId="0" applyNumberFormat="1" applyFill="1" applyProtection="0">
      <protection hidden="0" locked="1"/>
    </xf>
    <xf fontId="0" fillId="13" borderId="0" numFmtId="0" xfId="0" applyFill="1" applyProtection="1">
      <protection hidden="0" locked="1"/>
    </xf>
    <xf fontId="0" fillId="13" borderId="0" numFmtId="165" xfId="0" applyNumberFormat="1" applyFill="1" applyProtection="1">
      <protection hidden="0" locked="1"/>
    </xf>
    <xf fontId="0" fillId="13" borderId="0" numFmtId="20" xfId="0" applyNumberFormat="1" applyFill="1" applyProtection="1">
      <protection hidden="0" locked="1"/>
    </xf>
    <xf fontId="0" fillId="0" borderId="0" numFmtId="0" xfId="0" applyProtection="0">
      <protection hidden="0" locked="1"/>
    </xf>
    <xf fontId="7" fillId="0" borderId="0" numFmtId="165" xfId="0" applyNumberFormat="1" applyFont="1" applyAlignment="1" applyProtection="0">
      <alignment horizontal="left"/>
    </xf>
    <xf fontId="0" fillId="0" borderId="0" numFmtId="165" xfId="0" applyNumberFormat="1" applyProtection="0">
      <protection hidden="0" locked="1"/>
    </xf>
    <xf fontId="0" fillId="13" borderId="0" numFmtId="0" xfId="0" applyFill="1" applyProtection="0">
      <protection hidden="0" locked="1"/>
    </xf>
    <xf fontId="0" fillId="13" borderId="0" numFmtId="20" xfId="0" applyNumberFormat="1" applyFill="1" applyProtection="0">
      <protection hidden="0" locked="1"/>
    </xf>
    <xf fontId="0" fillId="15" borderId="0" numFmtId="0" xfId="0" applyFill="1" applyAlignment="1" applyProtection="1">
      <alignment horizontal="center"/>
      <protection hidden="0" locked="1"/>
    </xf>
    <xf fontId="0" fillId="7" borderId="0" numFmtId="0" xfId="0" applyFill="1" applyAlignment="1" applyProtection="1">
      <alignment horizontal="center"/>
      <protection hidden="0" locked="1"/>
    </xf>
    <xf fontId="5" fillId="0" borderId="0" numFmtId="0" xfId="0" applyFont="1" applyAlignment="1" applyProtection="1">
      <alignment horizontal="left"/>
      <protection hidden="0" locked="1"/>
    </xf>
    <xf fontId="5" fillId="0" borderId="0" numFmtId="0" xfId="0" applyFont="1" applyAlignment="1" applyProtection="0">
      <alignment horizontal="left"/>
      <protection hidden="0" locked="1"/>
    </xf>
    <xf fontId="5" fillId="0" borderId="0" numFmtId="0" xfId="0" applyFont="1" applyAlignment="1" applyProtection="0">
      <alignment horizontal="right"/>
      <protection hidden="0" locked="1"/>
    </xf>
    <xf fontId="5" fillId="0" borderId="0" numFmtId="165" xfId="0" applyNumberFormat="1" applyFont="1" applyAlignment="1" applyProtection="0">
      <alignment horizontal="right"/>
      <protection hidden="0" locked="1"/>
    </xf>
    <xf fontId="5" fillId="16" borderId="0" numFmtId="165" xfId="0" applyNumberFormat="1" applyFont="1" applyFill="1" applyAlignment="1" applyProtection="0">
      <alignment horizontal="right"/>
      <protection hidden="0" locked="1"/>
    </xf>
    <xf fontId="5" fillId="17" borderId="0" numFmtId="0" xfId="0" applyFont="1" applyFill="1" applyAlignment="1" applyProtection="0">
      <alignment horizontal="left"/>
      <protection hidden="0" locked="1"/>
    </xf>
    <xf fontId="5" fillId="18" borderId="0" numFmtId="0" xfId="0" applyFont="1" applyFill="1" applyAlignment="1" applyProtection="0">
      <alignment horizontal="left"/>
      <protection hidden="0" locked="1"/>
    </xf>
    <xf fontId="5" fillId="19" borderId="0" numFmtId="165" xfId="0" applyNumberFormat="1" applyFont="1" applyFill="1" applyAlignment="1" applyProtection="0">
      <alignment horizontal="right"/>
      <protection hidden="0" locked="1"/>
    </xf>
    <xf fontId="0" fillId="20" borderId="0" numFmtId="0" xfId="0" applyFill="1" applyProtection="1">
      <protection hidden="0" locked="1"/>
    </xf>
    <xf fontId="0" fillId="21" borderId="0" numFmtId="0" xfId="0" applyFill="1" applyProtection="1">
      <protection hidden="0" locked="1"/>
    </xf>
    <xf fontId="0" fillId="22" borderId="0" numFmtId="0" xfId="0" applyFill="1" applyProtection="1">
      <protection hidden="0" locked="1"/>
    </xf>
    <xf fontId="0" fillId="17" borderId="0" numFmtId="0" xfId="0" applyFill="1" applyAlignment="1" applyProtection="0">
      <alignment horizontal="left"/>
      <protection hidden="0" locked="1"/>
    </xf>
    <xf fontId="6" fillId="18" borderId="0" numFmtId="0" xfId="0" applyFont="1" applyFill="1" applyAlignment="1" applyProtection="0">
      <alignment horizontal="left"/>
      <protection hidden="0" locked="1"/>
    </xf>
    <xf fontId="5" fillId="23" borderId="0" numFmtId="0" xfId="0" applyFont="1" applyFill="1" applyAlignment="1" applyProtection="0">
      <alignment horizontal="left"/>
      <protection hidden="0" locked="1"/>
    </xf>
    <xf fontId="9" fillId="23" borderId="0" numFmtId="0" xfId="0" applyFont="1" applyFill="1" applyAlignment="1" applyProtection="0">
      <alignment horizontal="left"/>
      <protection hidden="0" locked="1"/>
    </xf>
    <xf fontId="0" fillId="24" borderId="0" numFmtId="0" xfId="0" applyFill="1" applyProtection="0">
      <protection hidden="0" locked="1"/>
    </xf>
    <xf fontId="0" fillId="24" borderId="0" numFmtId="0" xfId="0" applyFill="1" applyProtection="1">
      <protection hidden="0" locked="1"/>
    </xf>
    <xf fontId="0" fillId="0" borderId="0" numFmtId="0" xfId="0" applyAlignment="1" applyProtection="0">
      <alignment horizontal="right"/>
      <protection hidden="0" locked="1"/>
    </xf>
    <xf fontId="0" fillId="0" borderId="0" numFmtId="166" xfId="0" applyNumberFormat="1" applyAlignment="1" applyProtection="1">
      <alignment horizontal="right"/>
      <protection hidden="0" locked="1"/>
    </xf>
    <xf fontId="0" fillId="0" borderId="0" numFmtId="166" xfId="0" applyNumberFormat="1" applyAlignment="1" applyProtection="0">
      <alignment horizontal="right"/>
      <protection hidden="0" locked="1"/>
    </xf>
    <xf fontId="0" fillId="0" borderId="0" numFmtId="165" xfId="0" applyNumberFormat="1" applyAlignment="1" applyProtection="0">
      <alignment horizontal="right"/>
      <protection hidden="0" locked="1"/>
    </xf>
    <xf fontId="0" fillId="19" borderId="0" numFmtId="165" xfId="0" applyNumberFormat="1" applyFill="1" applyProtection="0">
      <protection hidden="0" locked="1"/>
    </xf>
    <xf fontId="0" fillId="18" borderId="0" numFmtId="0" xfId="0" applyFill="1" applyProtection="1">
      <protection hidden="0" locked="1"/>
    </xf>
    <xf fontId="0" fillId="0" borderId="0" numFmtId="165" xfId="0" applyNumberFormat="1" applyAlignment="1" applyProtection="1">
      <alignment horizontal="right"/>
      <protection hidden="0" locked="1"/>
    </xf>
    <xf fontId="0" fillId="23" borderId="0" numFmtId="0" xfId="0" applyFill="1" applyProtection="1">
      <protection hidden="0" locked="1"/>
    </xf>
    <xf fontId="0" fillId="25" borderId="0" numFmtId="0" xfId="0" applyFill="1" applyAlignment="1" applyProtection="0">
      <alignment horizontal="right"/>
      <protection hidden="0" locked="1"/>
    </xf>
    <xf fontId="0" fillId="25" borderId="0" numFmtId="165" xfId="0" applyNumberFormat="1" applyFill="1" applyAlignment="1" applyProtection="1">
      <alignment horizontal="right"/>
      <protection hidden="0" locked="1"/>
    </xf>
    <xf fontId="0" fillId="25" borderId="0" numFmtId="165" xfId="0" applyNumberFormat="1" applyFill="1" applyAlignment="1" applyProtection="0">
      <alignment horizontal="right"/>
      <protection hidden="0" locked="1"/>
    </xf>
    <xf fontId="0" fillId="0" borderId="0" numFmtId="164" xfId="0" applyNumberFormat="1" applyAlignment="1" applyProtection="1">
      <alignment horizontal="right"/>
      <protection hidden="0" locked="1"/>
    </xf>
    <xf fontId="0" fillId="0" borderId="0" numFmtId="164" xfId="0" applyNumberFormat="1" applyAlignment="1" applyProtection="0">
      <alignment horizontal="right"/>
      <protection hidden="0" locked="1"/>
    </xf>
    <xf fontId="0" fillId="26" borderId="0" numFmtId="0" xfId="0" applyFill="1" applyProtection="1">
      <protection hidden="0" locked="1"/>
    </xf>
    <xf fontId="0" fillId="23" borderId="0" numFmtId="0" xfId="0" applyFill="1" applyProtection="0">
      <protection hidden="0" locked="1"/>
    </xf>
    <xf fontId="0" fillId="0" borderId="0" numFmtId="167" xfId="0" applyNumberFormat="1" applyAlignment="1" applyProtection="1">
      <alignment horizontal="center"/>
      <protection hidden="0" locked="1"/>
    </xf>
    <xf fontId="10" fillId="0" borderId="0" numFmtId="0" xfId="0" applyFont="1" applyAlignment="1" applyProtection="0">
      <alignment horizontal="center" wrapText="1"/>
      <protection hidden="0" locked="1"/>
    </xf>
    <xf fontId="11" fillId="0" borderId="0" numFmtId="0" xfId="0" applyFont="1" applyAlignment="1" applyProtection="0">
      <alignment horizontal="center" wrapText="1"/>
      <protection hidden="0" locked="1"/>
    </xf>
    <xf fontId="11" fillId="0" borderId="0" numFmtId="0" xfId="0" applyFont="1" applyAlignment="1" applyProtection="0">
      <alignment horizontal="center"/>
      <protection hidden="0" locked="1"/>
    </xf>
    <xf fontId="12" fillId="0" borderId="0" numFmtId="0" xfId="0" applyFont="1" applyAlignment="1" applyProtection="0">
      <alignment horizontal="center" wrapText="1"/>
      <protection hidden="0" locked="1"/>
    </xf>
    <xf fontId="13" fillId="0" borderId="0" numFmtId="0" xfId="0" applyFont="1" applyAlignment="1" applyProtection="0">
      <alignment horizontal="center" wrapText="1"/>
      <protection hidden="0" locked="1"/>
    </xf>
    <xf fontId="14" fillId="0" borderId="0" numFmtId="0" xfId="0" applyFont="1" applyAlignment="1" applyProtection="0">
      <alignment horizontal="center" wrapText="1"/>
      <protection hidden="0" locked="1"/>
    </xf>
    <xf fontId="13" fillId="0" borderId="0" numFmtId="0" xfId="0" applyFont="1" applyProtection="0">
      <protection hidden="0" locked="1"/>
    </xf>
    <xf fontId="14" fillId="0" borderId="0" numFmtId="0" xfId="0" applyFont="1" applyAlignment="1" applyProtection="0">
      <alignment horizontal="center"/>
      <protection hidden="0" locked="1"/>
    </xf>
    <xf fontId="13" fillId="0" borderId="0" numFmtId="0" xfId="0" applyFont="1" applyAlignment="1" applyProtection="0">
      <alignment horizontal="center"/>
      <protection hidden="0" locked="1"/>
    </xf>
    <xf fontId="10" fillId="0" borderId="0" numFmtId="0" xfId="0" applyFont="1" applyAlignment="1" applyProtection="0">
      <alignment horizontal="center"/>
      <protection hidden="0" locked="1"/>
    </xf>
    <xf fontId="6" fillId="0" borderId="0" numFmtId="0" xfId="0" applyFont="1" applyAlignment="1" applyProtection="0">
      <alignment horizontal="left"/>
      <protection hidden="0" locked="1"/>
    </xf>
  </cellXfs>
  <cellStyles count="9">
    <cellStyle name="Normal" xfId="0" builtinId="0"/>
    <cellStyle name="Comma" xfId="1" builtinId="3"/>
    <cellStyle name="Comma [0]" xfId="2" builtinId="6"/>
    <cellStyle name="Currency" xfId="3" builtinId="4"/>
    <cellStyle name="Currency [0]" xfId="4" builtinId="7"/>
    <cellStyle name="Percent" xfId="5" builtinId="5"/>
    <cellStyle name="40% - Accent1" xfId="6" builtinId="31"/>
    <cellStyle name="60% - Accent1" xfId="7" builtinId="32"/>
    <cellStyle name="40% - Accent5" xfId="8" builtinId="47"/>
  </cellStyles>
  <dxfs count="0"/>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theme" Target="theme/theme1.xml"/><Relationship  Id="rId6" Type="http://schemas.openxmlformats.org/officeDocument/2006/relationships/sharedStrings" Target="sharedStrings.xml"/><Relationship  Id="rId7" Type="http://schemas.openxmlformats.org/officeDocument/2006/relationships/styles" Target="styles.xml"/></Relationships>
</file>

<file path=xl/theme/theme.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ゴシック"/>
        <a:font script="Hang" typeface="맑은 고딕"/>
        <a:font script="Hans" typeface="宋体"/>
        <a:font script="Hant" typeface="新細明體"/>
        <a:font script="Arab" typeface="Times New Roman"/>
        <a:font script="Hebr" typeface="Times New Roman"/>
        <a:font script="Thai" typeface="Angsana New"/>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明朝"/>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eme/theme1.xml><?xml version="1.0" encoding="utf-8"?>
<a:theme xmlns:a="http://schemas.openxmlformats.org/drawingml/2006/main" xmlns:r="http://schemas.openxmlformats.org/officeDocument/2006/relationships" xmlns:p="http://schemas.openxmlformats.org/presentation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gradFill>
      </a:bgFillStyleLst>
    </a:fmtScheme>
  </a:themeElements>
  <a:objectDefaul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Pr filterMode="0">
    <outlinePr applyStyles="0" summaryBelow="1" summaryRight="1" showOutlineSymbols="1"/>
    <pageSetUpPr autoPageBreaks="1" fitToPage="0"/>
  </sheetPr>
  <sheetViews>
    <sheetView showFormulas="0" showGridLines="1" showRowColHeaders="1" showZeros="1" view="normal" zoomScale="65" workbookViewId="0">
      <pane xSplit="1" ySplit="1" topLeftCell="B2" activePane="bottomRight" state="frozen"/>
      <selection activeCell="K53" activeCellId="0" sqref="K53"/>
    </sheetView>
  </sheetViews>
  <sheetFormatPr defaultColWidth="11.16796875" defaultRowHeight="16.5"/>
  <cols>
    <col customWidth="1" min="1" max="1" style="1" width="9.8300000000000001"/>
    <col bestFit="1" customWidth="1" min="2" max="2" style="1" width="11.875"/>
    <col bestFit="1" customWidth="1" min="3" max="3" style="1" width="9.625"/>
    <col bestFit="1" customWidth="1" min="4" max="4" style="1" width="8.125"/>
    <col customWidth="1" min="5" max="5" style="1" width="10.25390625"/>
    <col customWidth="1" min="6" max="6" style="2" width="10.875"/>
    <col customWidth="1" min="7" max="7" style="2" width="10.625"/>
    <col bestFit="1" customWidth="1" min="8" max="8" style="2" width="5.75390625"/>
    <col bestFit="1" customWidth="1" min="9" max="9" style="2" width="4.625"/>
    <col bestFit="1" customWidth="1" min="10" max="10" style="2" width="4.3125"/>
    <col bestFit="1" customWidth="1" min="11" max="11" style="2" width="11.93359375"/>
    <col bestFit="1" customWidth="1" min="12" max="12" style="2" width="15.3125"/>
    <col customWidth="1" min="13" max="13" style="2" width="10.00390625"/>
    <col customWidth="1" min="14" max="14" style="2" width="10.50390625"/>
    <col customWidth="1" min="15" max="18" style="2" width="6.25390625"/>
    <col customWidth="1" min="19" max="19" style="2" width="11.375"/>
    <col customWidth="1" min="20" max="22" style="2" width="9.50390625"/>
    <col bestFit="1" customWidth="1" min="23" max="23" style="2" width="10.26171875"/>
    <col bestFit="1" customWidth="1" min="24" max="24" style="2" width="10.53125"/>
    <col customWidth="1" min="25" max="26" style="2" width="9.50390625"/>
    <col customWidth="1" min="27" max="27" width="58.00390625"/>
    <col customWidth="1" min="28" max="29" style="2" width="10.5"/>
    <col customWidth="1" min="30" max="30" style="3" width="23.75390625"/>
    <col customWidth="1" min="31" max="33" style="2" width="10.5"/>
  </cols>
  <sheetData>
    <row r="1" ht="15.75" customHeight="1">
      <c r="A1" s="1" t="s">
        <v>0</v>
      </c>
      <c r="B1" s="1" t="s">
        <v>1</v>
      </c>
      <c r="C1" s="1" t="s">
        <v>2</v>
      </c>
      <c r="D1" s="1" t="s">
        <v>3</v>
      </c>
      <c r="E1" s="1" t="s">
        <v>4</v>
      </c>
      <c r="F1" s="2" t="s">
        <v>5</v>
      </c>
      <c r="G1" s="1" t="s">
        <v>6</v>
      </c>
      <c r="H1" s="2" t="s">
        <v>7</v>
      </c>
      <c r="I1" s="2" t="s">
        <v>8</v>
      </c>
      <c r="J1" s="2" t="s">
        <v>9</v>
      </c>
      <c r="K1" s="2" t="s">
        <v>10</v>
      </c>
      <c r="L1" s="2" t="s">
        <v>11</v>
      </c>
      <c r="M1" s="2" t="s">
        <v>12</v>
      </c>
      <c r="N1" s="2" t="s">
        <v>13</v>
      </c>
      <c r="O1" s="2" t="s">
        <v>14</v>
      </c>
      <c r="P1" s="2" t="s">
        <v>15</v>
      </c>
      <c r="Q1" s="2" t="s">
        <v>16</v>
      </c>
      <c r="R1" s="2" t="s">
        <v>17</v>
      </c>
      <c r="S1" s="2" t="s">
        <v>18</v>
      </c>
      <c r="T1" s="2" t="s">
        <v>19</v>
      </c>
      <c r="U1" s="2" t="s">
        <v>20</v>
      </c>
      <c r="V1" s="2" t="s">
        <v>21</v>
      </c>
      <c r="W1" s="2" t="s">
        <v>22</v>
      </c>
      <c r="X1" s="2" t="s">
        <v>23</v>
      </c>
      <c r="Y1" s="2" t="s">
        <v>24</v>
      </c>
      <c r="Z1" s="2" t="s">
        <v>25</v>
      </c>
      <c r="AA1" s="2" t="s">
        <v>26</v>
      </c>
      <c r="AD1" s="3" t="s">
        <v>27</v>
      </c>
    </row>
    <row r="2" ht="15.75" customHeight="1">
      <c r="A2" s="1">
        <v>1</v>
      </c>
      <c r="B2" s="1"/>
      <c r="C2" s="1"/>
      <c r="D2" s="1">
        <v>1</v>
      </c>
      <c r="E2" s="4">
        <v>44999</v>
      </c>
      <c r="F2" s="5">
        <v>44815</v>
      </c>
      <c r="G2" s="5">
        <v>45362</v>
      </c>
      <c r="H2" s="2">
        <f>6+3/30</f>
        <v>6.0999999999999996</v>
      </c>
      <c r="I2" s="2">
        <v>6</v>
      </c>
      <c r="J2" s="2" t="s">
        <v>28</v>
      </c>
      <c r="K2" s="2" t="s">
        <v>29</v>
      </c>
      <c r="L2" s="2">
        <v>79</v>
      </c>
      <c r="M2" s="2">
        <v>100</v>
      </c>
      <c r="N2" s="2">
        <v>2</v>
      </c>
      <c r="O2" s="2"/>
      <c r="P2" s="2">
        <v>0</v>
      </c>
      <c r="Q2" s="2"/>
      <c r="R2" s="2">
        <v>0</v>
      </c>
      <c r="Z2" s="2"/>
      <c r="AA2" s="2" t="s">
        <v>30</v>
      </c>
    </row>
    <row r="3" s="6" customFormat="1" ht="15.75" hidden="1" customHeight="1">
      <c r="A3" s="7">
        <v>2</v>
      </c>
      <c r="B3" s="7">
        <v>1</v>
      </c>
      <c r="C3" s="7"/>
      <c r="D3" s="7"/>
      <c r="E3" s="8">
        <v>45000</v>
      </c>
      <c r="F3" s="9">
        <v>44720</v>
      </c>
      <c r="G3" s="9"/>
      <c r="H3" s="10">
        <v>9.6999999999999993</v>
      </c>
      <c r="I3" s="10">
        <v>9</v>
      </c>
      <c r="J3" s="10" t="s">
        <v>31</v>
      </c>
      <c r="K3" s="10"/>
      <c r="L3" s="10"/>
      <c r="M3" s="10">
        <v>-100</v>
      </c>
      <c r="N3" s="10">
        <v>2</v>
      </c>
      <c r="O3" s="10"/>
      <c r="P3" s="10">
        <v>0</v>
      </c>
      <c r="Q3" s="10"/>
      <c r="R3" s="10"/>
      <c r="S3" s="6"/>
      <c r="T3" s="10"/>
      <c r="U3" s="10"/>
      <c r="V3" s="10"/>
      <c r="W3" s="10"/>
      <c r="X3" s="10"/>
      <c r="Y3" s="10"/>
      <c r="Z3" s="10"/>
      <c r="AA3" s="10" t="s">
        <v>32</v>
      </c>
      <c r="AB3" s="10"/>
      <c r="AC3" s="10"/>
      <c r="AD3" s="11"/>
      <c r="AE3" s="10"/>
      <c r="AF3" s="10"/>
      <c r="AG3" s="10"/>
    </row>
    <row r="4" s="6" customFormat="1" ht="15.75" hidden="1" customHeight="1">
      <c r="A4" s="7">
        <v>3</v>
      </c>
      <c r="B4" s="7">
        <v>1</v>
      </c>
      <c r="C4" s="7"/>
      <c r="D4" s="7"/>
      <c r="E4" s="8">
        <v>45014</v>
      </c>
      <c r="F4" s="12">
        <v>44727</v>
      </c>
      <c r="G4" s="12"/>
      <c r="H4" s="10">
        <v>9.1400000000000006</v>
      </c>
      <c r="I4" s="10">
        <v>9</v>
      </c>
      <c r="J4" s="10" t="s">
        <v>31</v>
      </c>
      <c r="K4" s="10"/>
      <c r="L4" s="10"/>
      <c r="M4" s="10">
        <v>100</v>
      </c>
      <c r="N4" s="10">
        <v>2</v>
      </c>
      <c r="O4" s="10"/>
      <c r="P4" s="10">
        <v>0</v>
      </c>
      <c r="Q4" s="10"/>
      <c r="R4" s="10"/>
      <c r="S4" s="6"/>
      <c r="T4" s="10"/>
      <c r="U4" s="10"/>
      <c r="V4" s="10"/>
      <c r="W4" s="10"/>
      <c r="X4" s="10"/>
      <c r="Y4" s="10"/>
      <c r="Z4" s="10"/>
      <c r="AA4" s="10" t="s">
        <v>32</v>
      </c>
      <c r="AB4" s="10"/>
      <c r="AC4" s="10"/>
      <c r="AD4" s="11"/>
      <c r="AE4" s="10"/>
      <c r="AF4" s="10"/>
      <c r="AG4" s="10"/>
    </row>
    <row r="5" s="13" customFormat="1" ht="15.75" hidden="1" customHeight="1">
      <c r="A5" s="14">
        <v>4</v>
      </c>
      <c r="B5" s="14"/>
      <c r="C5" s="14">
        <v>1</v>
      </c>
      <c r="D5" s="14"/>
      <c r="E5" s="15">
        <v>45014</v>
      </c>
      <c r="F5" s="16">
        <v>44814</v>
      </c>
      <c r="G5" s="16"/>
      <c r="H5" s="17">
        <v>6.1900000000000004</v>
      </c>
      <c r="I5" s="17">
        <v>6</v>
      </c>
      <c r="J5" s="17" t="s">
        <v>28</v>
      </c>
      <c r="K5" s="17"/>
      <c r="L5" s="17"/>
      <c r="M5" s="17">
        <v>-100</v>
      </c>
      <c r="N5" s="17">
        <v>2</v>
      </c>
      <c r="O5" s="17"/>
      <c r="P5" s="17">
        <v>0</v>
      </c>
      <c r="Q5" s="17"/>
      <c r="R5" s="17"/>
      <c r="S5" s="13"/>
      <c r="T5" s="17"/>
      <c r="U5" s="17"/>
      <c r="V5" s="17"/>
      <c r="W5" s="17"/>
      <c r="X5" s="17"/>
      <c r="Y5" s="17"/>
      <c r="Z5" s="17"/>
      <c r="AA5" s="17" t="s">
        <v>33</v>
      </c>
      <c r="AB5" s="17"/>
      <c r="AC5" s="17"/>
      <c r="AD5" s="18"/>
      <c r="AE5" s="17"/>
      <c r="AF5" s="17"/>
      <c r="AG5" s="17"/>
    </row>
    <row r="6" s="6" customFormat="1" ht="15.75" hidden="1" customHeight="1">
      <c r="A6" s="7">
        <v>5</v>
      </c>
      <c r="B6" s="7">
        <v>1</v>
      </c>
      <c r="C6" s="7"/>
      <c r="D6" s="7"/>
      <c r="E6" s="8">
        <v>45014</v>
      </c>
      <c r="F6" s="9">
        <v>44814</v>
      </c>
      <c r="G6" s="9"/>
      <c r="H6" s="10">
        <v>6.1900000000000004</v>
      </c>
      <c r="I6" s="10">
        <v>6</v>
      </c>
      <c r="J6" s="10" t="s">
        <v>28</v>
      </c>
      <c r="K6" s="10"/>
      <c r="L6" s="10"/>
      <c r="M6" s="10">
        <v>100</v>
      </c>
      <c r="N6" s="10">
        <v>2</v>
      </c>
      <c r="O6" s="10"/>
      <c r="P6" s="10">
        <v>0</v>
      </c>
      <c r="Q6" s="10"/>
      <c r="R6" s="10"/>
      <c r="S6" s="6"/>
      <c r="T6" s="10"/>
      <c r="U6" s="10"/>
      <c r="V6" s="10"/>
      <c r="W6" s="10"/>
      <c r="X6" s="10"/>
      <c r="Y6" s="10"/>
      <c r="Z6" s="10"/>
      <c r="AA6" s="10" t="s">
        <v>34</v>
      </c>
      <c r="AB6" s="10"/>
      <c r="AC6" s="10"/>
      <c r="AD6" s="11"/>
      <c r="AE6" s="10"/>
      <c r="AF6" s="10"/>
      <c r="AG6" s="10"/>
    </row>
    <row r="7" s="6" customFormat="1" ht="15.75" hidden="1" customHeight="1">
      <c r="A7" s="7">
        <v>6</v>
      </c>
      <c r="B7" s="7">
        <v>1</v>
      </c>
      <c r="C7" s="7"/>
      <c r="D7" s="7"/>
      <c r="E7" s="8">
        <v>45015</v>
      </c>
      <c r="F7" s="9">
        <v>44823</v>
      </c>
      <c r="G7" s="9"/>
      <c r="H7" s="10">
        <v>6.2000000000000002</v>
      </c>
      <c r="I7" s="10">
        <v>6</v>
      </c>
      <c r="J7" s="10" t="s">
        <v>31</v>
      </c>
      <c r="K7" s="10"/>
      <c r="L7" s="10"/>
      <c r="M7" s="10">
        <v>-100</v>
      </c>
      <c r="N7" s="10">
        <v>2</v>
      </c>
      <c r="O7" s="10"/>
      <c r="P7" s="10">
        <v>0</v>
      </c>
      <c r="Q7" s="10"/>
      <c r="R7" s="10"/>
      <c r="S7" s="6"/>
      <c r="T7" s="10"/>
      <c r="U7" s="10"/>
      <c r="V7" s="10"/>
      <c r="W7" s="10"/>
      <c r="X7" s="10"/>
      <c r="Y7" s="10"/>
      <c r="Z7" s="10"/>
      <c r="AA7" s="10" t="s">
        <v>35</v>
      </c>
      <c r="AB7" s="10"/>
      <c r="AC7" s="10"/>
      <c r="AD7" s="11"/>
      <c r="AE7" s="10"/>
      <c r="AF7" s="10"/>
      <c r="AG7" s="10"/>
    </row>
    <row r="8" s="19" customFormat="1" ht="15.75" hidden="1" customHeight="1">
      <c r="A8" s="20">
        <v>7</v>
      </c>
      <c r="B8" s="20">
        <v>1</v>
      </c>
      <c r="C8" s="20"/>
      <c r="D8" s="20"/>
      <c r="E8" s="21">
        <v>45015</v>
      </c>
      <c r="F8" s="22">
        <v>44825</v>
      </c>
      <c r="G8" s="22">
        <v>45372</v>
      </c>
      <c r="H8" s="23">
        <f>6+9/30</f>
        <v>6.2999999999999998</v>
      </c>
      <c r="I8" s="23">
        <v>6</v>
      </c>
      <c r="J8" s="23" t="s">
        <v>31</v>
      </c>
      <c r="K8" s="23" t="s">
        <v>36</v>
      </c>
      <c r="L8" s="23">
        <v>80</v>
      </c>
      <c r="M8" s="23">
        <v>100</v>
      </c>
      <c r="N8" s="23">
        <v>2</v>
      </c>
      <c r="O8" s="23"/>
      <c r="P8" s="23">
        <v>0</v>
      </c>
      <c r="Q8" s="23"/>
      <c r="R8" s="23">
        <v>0</v>
      </c>
      <c r="S8" s="19"/>
      <c r="T8" s="19"/>
      <c r="U8" s="19"/>
      <c r="V8" s="19"/>
      <c r="W8" s="19"/>
      <c r="X8" s="19"/>
      <c r="Y8" s="19"/>
      <c r="Z8" s="19"/>
      <c r="AA8" s="23" t="s">
        <v>37</v>
      </c>
      <c r="AB8" s="19"/>
      <c r="AC8" s="19"/>
      <c r="AD8" s="19"/>
      <c r="AE8" s="19"/>
      <c r="AF8" s="19"/>
      <c r="AG8" s="19"/>
    </row>
    <row r="9" s="13" customFormat="1" ht="15.75" hidden="1" customHeight="1">
      <c r="A9" s="14">
        <v>8</v>
      </c>
      <c r="B9" s="14"/>
      <c r="C9" s="14">
        <v>1</v>
      </c>
      <c r="D9" s="14"/>
      <c r="E9" s="15">
        <v>45016</v>
      </c>
      <c r="F9" s="16">
        <v>44732</v>
      </c>
      <c r="G9" s="16"/>
      <c r="H9" s="17">
        <v>9.1099999999999994</v>
      </c>
      <c r="I9" s="17">
        <v>9</v>
      </c>
      <c r="J9" s="17" t="s">
        <v>31</v>
      </c>
      <c r="K9" s="17"/>
      <c r="L9" s="17"/>
      <c r="M9" s="17">
        <v>-100</v>
      </c>
      <c r="N9" s="17">
        <v>2</v>
      </c>
      <c r="O9" s="17"/>
      <c r="P9" s="17">
        <v>0</v>
      </c>
      <c r="Q9" s="17"/>
      <c r="R9" s="17"/>
      <c r="S9" s="13"/>
      <c r="T9" s="17"/>
      <c r="U9" s="17"/>
      <c r="V9" s="17"/>
      <c r="W9" s="17"/>
      <c r="X9" s="17"/>
      <c r="Y9" s="17"/>
      <c r="Z9" s="17"/>
      <c r="AA9" s="17" t="s">
        <v>38</v>
      </c>
      <c r="AB9" s="17"/>
      <c r="AC9" s="17"/>
      <c r="AD9" s="18"/>
      <c r="AE9" s="17"/>
      <c r="AF9" s="17"/>
      <c r="AG9" s="17"/>
    </row>
    <row r="10" s="13" customFormat="1" ht="15.75" hidden="1" customHeight="1">
      <c r="A10" s="14">
        <v>9</v>
      </c>
      <c r="B10" s="14"/>
      <c r="C10" s="14">
        <v>1</v>
      </c>
      <c r="D10" s="14"/>
      <c r="E10" s="15">
        <v>45021</v>
      </c>
      <c r="F10" s="16">
        <v>44834</v>
      </c>
      <c r="G10" s="16"/>
      <c r="H10" s="17">
        <v>6.5</v>
      </c>
      <c r="I10" s="17">
        <v>6</v>
      </c>
      <c r="J10" s="17" t="s">
        <v>31</v>
      </c>
      <c r="K10" s="17"/>
      <c r="L10" s="17"/>
      <c r="M10" s="17">
        <v>-100</v>
      </c>
      <c r="N10" s="17">
        <v>2</v>
      </c>
      <c r="O10" s="17"/>
      <c r="P10" s="17">
        <v>0</v>
      </c>
      <c r="Q10" s="17"/>
      <c r="R10" s="17"/>
      <c r="S10" s="13"/>
      <c r="T10" s="17"/>
      <c r="U10" s="17"/>
      <c r="V10" s="17"/>
      <c r="W10" s="17"/>
      <c r="X10" s="17"/>
      <c r="Y10" s="17"/>
      <c r="Z10" s="17"/>
      <c r="AA10" s="17" t="s">
        <v>39</v>
      </c>
      <c r="AB10" s="17"/>
      <c r="AC10" s="17"/>
      <c r="AD10" s="18"/>
      <c r="AE10" s="17"/>
      <c r="AF10" s="17"/>
      <c r="AG10" s="17"/>
    </row>
    <row r="11" ht="15.75" customHeight="1">
      <c r="A11" s="1">
        <v>10</v>
      </c>
      <c r="B11" s="1"/>
      <c r="C11" s="1"/>
      <c r="D11" s="1">
        <v>1</v>
      </c>
      <c r="E11" s="4">
        <v>45021</v>
      </c>
      <c r="F11" s="5">
        <v>44743</v>
      </c>
      <c r="G11" s="24">
        <v>45292</v>
      </c>
      <c r="H11" s="2">
        <v>9.4000000000000004</v>
      </c>
      <c r="I11" s="2">
        <v>9</v>
      </c>
      <c r="J11" s="2" t="s">
        <v>28</v>
      </c>
      <c r="K11" s="2" t="s">
        <v>40</v>
      </c>
      <c r="L11" s="2">
        <v>139</v>
      </c>
      <c r="M11" s="2">
        <v>-100</v>
      </c>
      <c r="N11" s="2">
        <v>2</v>
      </c>
      <c r="O11" s="2"/>
      <c r="P11" s="2">
        <v>0</v>
      </c>
      <c r="Q11" s="2"/>
      <c r="R11" s="2">
        <v>0</v>
      </c>
      <c r="AA11" s="2" t="s">
        <v>41</v>
      </c>
    </row>
    <row r="12" s="13" customFormat="1" ht="15.75" hidden="1" customHeight="1">
      <c r="A12" s="14">
        <v>11</v>
      </c>
      <c r="B12" s="14"/>
      <c r="C12" s="14">
        <v>1</v>
      </c>
      <c r="D12" s="14"/>
      <c r="E12" s="15">
        <v>45021</v>
      </c>
      <c r="F12" s="16">
        <v>44906</v>
      </c>
      <c r="G12" s="16"/>
      <c r="H12" s="17">
        <v>3.25</v>
      </c>
      <c r="I12" s="17">
        <v>3</v>
      </c>
      <c r="J12" s="17" t="s">
        <v>31</v>
      </c>
      <c r="K12" s="17"/>
      <c r="L12" s="17"/>
      <c r="M12" s="17">
        <v>-100</v>
      </c>
      <c r="N12" s="17">
        <v>2</v>
      </c>
      <c r="O12" s="17"/>
      <c r="P12" s="17">
        <v>0</v>
      </c>
      <c r="Q12" s="17"/>
      <c r="R12" s="17"/>
      <c r="S12" s="13"/>
      <c r="T12" s="17"/>
      <c r="U12" s="17"/>
      <c r="V12" s="17"/>
      <c r="W12" s="17"/>
      <c r="X12" s="17"/>
      <c r="Y12" s="17"/>
      <c r="Z12" s="17"/>
      <c r="AA12" s="17"/>
      <c r="AB12" s="17"/>
      <c r="AC12" s="17"/>
      <c r="AD12" s="18"/>
      <c r="AE12" s="17"/>
      <c r="AF12" s="17"/>
      <c r="AG12" s="17"/>
    </row>
    <row r="13" ht="15.75" customHeight="1">
      <c r="A13" s="1">
        <v>12</v>
      </c>
      <c r="B13" s="1"/>
      <c r="C13" s="1"/>
      <c r="D13" s="1">
        <v>1</v>
      </c>
      <c r="E13" s="4">
        <v>45028</v>
      </c>
      <c r="F13" s="5">
        <v>44837</v>
      </c>
      <c r="G13" s="5">
        <v>45385</v>
      </c>
      <c r="H13" s="2">
        <f>6+9/30</f>
        <v>6.2999999999999998</v>
      </c>
      <c r="I13" s="2">
        <v>6</v>
      </c>
      <c r="J13" s="2" t="s">
        <v>31</v>
      </c>
      <c r="K13" s="2" t="s">
        <v>42</v>
      </c>
      <c r="L13" s="2">
        <v>173</v>
      </c>
      <c r="M13" s="2">
        <v>-100</v>
      </c>
      <c r="N13" s="2">
        <v>2</v>
      </c>
      <c r="O13" s="2"/>
      <c r="P13" s="2">
        <v>0</v>
      </c>
      <c r="Q13" s="2"/>
      <c r="R13" s="2">
        <v>0</v>
      </c>
      <c r="AA13" s="2" t="s">
        <v>43</v>
      </c>
    </row>
    <row r="14" s="6" customFormat="1" ht="15.75" hidden="1" customHeight="1">
      <c r="A14" s="7">
        <v>13</v>
      </c>
      <c r="B14" s="7">
        <v>1</v>
      </c>
      <c r="C14" s="7"/>
      <c r="D14" s="7"/>
      <c r="E14" s="8">
        <v>45028</v>
      </c>
      <c r="F14" s="9">
        <v>44836</v>
      </c>
      <c r="G14" s="9">
        <v>44836</v>
      </c>
      <c r="H14" s="10">
        <v>6.0999999999999996</v>
      </c>
      <c r="I14" s="10">
        <v>6</v>
      </c>
      <c r="J14" s="10" t="s">
        <v>31</v>
      </c>
      <c r="K14" s="10"/>
      <c r="L14" s="10"/>
      <c r="M14" s="10">
        <v>100</v>
      </c>
      <c r="N14" s="10">
        <v>2</v>
      </c>
      <c r="O14" s="10"/>
      <c r="P14" s="10">
        <v>0</v>
      </c>
      <c r="Q14" s="10"/>
      <c r="R14" s="10"/>
      <c r="S14" s="6"/>
      <c r="T14" s="10"/>
      <c r="U14" s="10"/>
      <c r="V14" s="10"/>
      <c r="W14" s="10"/>
      <c r="X14" s="10"/>
      <c r="Y14" s="10"/>
      <c r="Z14" s="10"/>
      <c r="AA14" s="10" t="s">
        <v>44</v>
      </c>
      <c r="AB14" s="10"/>
      <c r="AC14" s="10"/>
      <c r="AD14" s="11"/>
      <c r="AE14" s="10"/>
      <c r="AF14" s="10"/>
      <c r="AG14" s="10"/>
    </row>
    <row r="15" s="13" customFormat="1" ht="15.75" hidden="1" customHeight="1">
      <c r="A15" s="14">
        <v>14</v>
      </c>
      <c r="B15" s="14"/>
      <c r="C15" s="14">
        <v>1</v>
      </c>
      <c r="D15" s="14"/>
      <c r="E15" s="15">
        <v>45030</v>
      </c>
      <c r="F15" s="16">
        <v>44841</v>
      </c>
      <c r="G15" s="16"/>
      <c r="H15" s="17">
        <v>6.7000000000000002</v>
      </c>
      <c r="I15" s="17">
        <v>6</v>
      </c>
      <c r="J15" s="17" t="s">
        <v>28</v>
      </c>
      <c r="K15" s="17"/>
      <c r="L15" s="17"/>
      <c r="M15" s="17">
        <v>100</v>
      </c>
      <c r="N15" s="17">
        <v>2</v>
      </c>
      <c r="O15" s="17"/>
      <c r="P15" s="17">
        <v>0</v>
      </c>
      <c r="Q15" s="17"/>
      <c r="R15" s="17"/>
      <c r="S15" s="13"/>
      <c r="T15" s="17"/>
      <c r="U15" s="17"/>
      <c r="V15" s="17"/>
      <c r="W15" s="17"/>
      <c r="X15" s="17"/>
      <c r="Y15" s="17"/>
      <c r="Z15" s="17"/>
      <c r="AA15" s="17" t="s">
        <v>45</v>
      </c>
      <c r="AB15" s="17"/>
      <c r="AC15" s="17"/>
      <c r="AD15" s="18"/>
      <c r="AE15" s="17"/>
      <c r="AF15" s="17"/>
      <c r="AG15" s="17"/>
    </row>
    <row r="16" ht="15.75" customHeight="1">
      <c r="A16" s="1">
        <v>15</v>
      </c>
      <c r="B16" s="1"/>
      <c r="C16" s="1"/>
      <c r="D16" s="1">
        <v>1</v>
      </c>
      <c r="E16" s="4">
        <v>45034</v>
      </c>
      <c r="F16" s="5">
        <v>44838</v>
      </c>
      <c r="G16" s="5">
        <v>45386</v>
      </c>
      <c r="H16" s="2">
        <f>6+14/30</f>
        <v>6.4666666666666668</v>
      </c>
      <c r="I16" s="2">
        <v>6</v>
      </c>
      <c r="J16" s="2" t="s">
        <v>31</v>
      </c>
      <c r="K16" s="2" t="s">
        <v>46</v>
      </c>
      <c r="L16" s="2">
        <v>640</v>
      </c>
      <c r="M16" s="2">
        <v>100</v>
      </c>
      <c r="N16" s="2">
        <v>1</v>
      </c>
      <c r="O16" s="2"/>
      <c r="P16" s="2">
        <v>0</v>
      </c>
      <c r="Q16" s="2"/>
      <c r="R16" s="2">
        <v>0</v>
      </c>
      <c r="AA16" s="2" t="s">
        <v>47</v>
      </c>
    </row>
    <row r="17" ht="15.75" customHeight="1">
      <c r="A17" s="1">
        <v>16</v>
      </c>
      <c r="B17" s="1"/>
      <c r="C17" s="1"/>
      <c r="D17" s="1">
        <v>1</v>
      </c>
      <c r="E17" s="4">
        <v>45035</v>
      </c>
      <c r="F17" s="5">
        <v>44758</v>
      </c>
      <c r="G17" s="24">
        <v>45307</v>
      </c>
      <c r="H17" s="2">
        <v>9.3000000000000007</v>
      </c>
      <c r="I17" s="2">
        <v>9</v>
      </c>
      <c r="J17" s="2" t="s">
        <v>31</v>
      </c>
      <c r="K17" s="2" t="s">
        <v>48</v>
      </c>
      <c r="L17" s="2">
        <v>288</v>
      </c>
      <c r="M17" s="2">
        <v>100</v>
      </c>
      <c r="N17" s="2">
        <v>1</v>
      </c>
      <c r="O17" s="2"/>
      <c r="P17" s="2">
        <v>0</v>
      </c>
      <c r="Q17" s="2"/>
      <c r="R17" s="2">
        <v>0</v>
      </c>
      <c r="AA17" s="2" t="s">
        <v>49</v>
      </c>
    </row>
    <row r="18" s="13" customFormat="1" ht="15.75" hidden="1" customHeight="1">
      <c r="A18" s="14">
        <v>17</v>
      </c>
      <c r="B18" s="14"/>
      <c r="C18" s="14">
        <v>1</v>
      </c>
      <c r="D18" s="14"/>
      <c r="E18" s="15">
        <v>45035</v>
      </c>
      <c r="F18" s="16">
        <v>44740</v>
      </c>
      <c r="G18" s="16"/>
      <c r="H18" s="17">
        <v>9.2100000000000009</v>
      </c>
      <c r="I18" s="17">
        <v>9</v>
      </c>
      <c r="J18" s="17" t="s">
        <v>28</v>
      </c>
      <c r="K18" s="17"/>
      <c r="L18" s="17"/>
      <c r="M18" s="17">
        <v>-100</v>
      </c>
      <c r="N18" s="17">
        <v>1</v>
      </c>
      <c r="O18" s="17"/>
      <c r="P18" s="17">
        <v>0</v>
      </c>
      <c r="Q18" s="17"/>
      <c r="R18" s="17"/>
      <c r="S18" s="13"/>
      <c r="T18" s="17"/>
      <c r="U18" s="17"/>
      <c r="V18" s="17"/>
      <c r="W18" s="17"/>
      <c r="X18" s="17"/>
      <c r="Y18" s="17"/>
      <c r="Z18" s="17"/>
      <c r="AA18" s="17" t="s">
        <v>50</v>
      </c>
      <c r="AB18" s="17"/>
      <c r="AC18" s="17"/>
      <c r="AD18" s="18"/>
      <c r="AE18" s="17"/>
      <c r="AF18" s="17"/>
      <c r="AG18" s="17"/>
    </row>
    <row r="19" ht="15.75" customHeight="1">
      <c r="A19" s="1">
        <v>18</v>
      </c>
      <c r="B19" s="1"/>
      <c r="C19" s="1"/>
      <c r="D19" s="1">
        <v>1</v>
      </c>
      <c r="E19" s="4">
        <v>45035</v>
      </c>
      <c r="F19" s="5">
        <v>44818</v>
      </c>
      <c r="G19" s="5">
        <v>45365</v>
      </c>
      <c r="H19" s="2">
        <f>7+5/30</f>
        <v>7.166666666666667</v>
      </c>
      <c r="I19" s="2">
        <v>6</v>
      </c>
      <c r="J19" s="2" t="s">
        <v>28</v>
      </c>
      <c r="K19" s="2" t="s">
        <v>36</v>
      </c>
      <c r="L19" s="2">
        <v>80</v>
      </c>
      <c r="M19" s="2">
        <v>-100</v>
      </c>
      <c r="N19" s="2">
        <v>1</v>
      </c>
      <c r="O19" s="2"/>
      <c r="P19" s="2">
        <v>0</v>
      </c>
      <c r="Q19" s="2"/>
      <c r="R19" s="2">
        <v>0</v>
      </c>
      <c r="AA19" s="2" t="s">
        <v>51</v>
      </c>
    </row>
    <row r="20" ht="15.75" customHeight="1">
      <c r="A20" s="1">
        <v>19</v>
      </c>
      <c r="B20" s="1"/>
      <c r="C20" s="1"/>
      <c r="D20" s="1">
        <v>1</v>
      </c>
      <c r="E20" s="4">
        <v>45037</v>
      </c>
      <c r="F20" s="5">
        <v>44735</v>
      </c>
      <c r="G20" s="24">
        <v>45283</v>
      </c>
      <c r="H20" s="2">
        <v>9.2799999999999994</v>
      </c>
      <c r="I20" s="2">
        <v>9</v>
      </c>
      <c r="J20" s="2" t="s">
        <v>28</v>
      </c>
      <c r="K20" s="2" t="s">
        <v>52</v>
      </c>
      <c r="L20" s="2">
        <v>76</v>
      </c>
      <c r="M20" s="2">
        <v>100</v>
      </c>
      <c r="N20" s="2">
        <v>2</v>
      </c>
      <c r="O20" s="2"/>
      <c r="P20" s="2">
        <v>0</v>
      </c>
      <c r="Q20" s="2"/>
      <c r="R20" s="2">
        <v>0</v>
      </c>
      <c r="AA20" s="2" t="s">
        <v>53</v>
      </c>
    </row>
    <row r="21" ht="15.75" customHeight="1">
      <c r="A21" s="1">
        <v>20</v>
      </c>
      <c r="B21" s="1"/>
      <c r="C21" s="1"/>
      <c r="D21" s="1">
        <v>1</v>
      </c>
      <c r="E21" s="4">
        <v>45037</v>
      </c>
      <c r="F21" s="5">
        <v>44735</v>
      </c>
      <c r="G21" s="24">
        <v>45283</v>
      </c>
      <c r="H21" s="2">
        <v>9.2799999999999994</v>
      </c>
      <c r="I21" s="2">
        <v>9</v>
      </c>
      <c r="J21" s="2" t="s">
        <v>31</v>
      </c>
      <c r="K21" s="2" t="s">
        <v>54</v>
      </c>
      <c r="L21" s="2">
        <v>330</v>
      </c>
      <c r="M21" s="2">
        <v>-100</v>
      </c>
      <c r="N21" s="2">
        <v>2</v>
      </c>
      <c r="O21" s="2"/>
      <c r="P21" s="2">
        <v>0</v>
      </c>
      <c r="Q21" s="2"/>
      <c r="R21" s="2">
        <v>0</v>
      </c>
      <c r="AA21" s="2" t="s">
        <v>55</v>
      </c>
    </row>
    <row r="22" ht="15.75" customHeight="1">
      <c r="A22" s="1">
        <v>21</v>
      </c>
      <c r="B22" s="1"/>
      <c r="C22" s="1"/>
      <c r="D22" s="1">
        <v>1</v>
      </c>
      <c r="E22" s="4">
        <v>45037</v>
      </c>
      <c r="F22" s="5">
        <v>44841</v>
      </c>
      <c r="G22" s="5">
        <v>45389</v>
      </c>
      <c r="H22" s="2">
        <f>6+14/30</f>
        <v>6.4666666666666668</v>
      </c>
      <c r="I22" s="2">
        <v>6</v>
      </c>
      <c r="J22" s="2" t="s">
        <v>28</v>
      </c>
      <c r="K22" s="2" t="s">
        <v>56</v>
      </c>
      <c r="L22" s="2">
        <v>255</v>
      </c>
      <c r="M22" s="2">
        <v>-100</v>
      </c>
      <c r="N22" s="2">
        <v>2</v>
      </c>
      <c r="O22" s="2"/>
      <c r="P22" s="2">
        <v>0</v>
      </c>
      <c r="Q22" s="2"/>
      <c r="R22" s="2">
        <v>0</v>
      </c>
      <c r="AA22" s="2" t="s">
        <v>57</v>
      </c>
    </row>
    <row r="23" ht="15.75" customHeight="1">
      <c r="A23" s="1">
        <v>22</v>
      </c>
      <c r="B23" s="1"/>
      <c r="C23" s="1"/>
      <c r="D23" s="1">
        <v>1</v>
      </c>
      <c r="E23" s="4">
        <v>45043</v>
      </c>
      <c r="F23" s="5">
        <v>44770</v>
      </c>
      <c r="G23" s="5">
        <v>45319</v>
      </c>
      <c r="H23" s="2">
        <v>8.3000000000000007</v>
      </c>
      <c r="I23" s="2">
        <v>9</v>
      </c>
      <c r="J23" s="2" t="s">
        <v>31</v>
      </c>
      <c r="K23" s="2" t="s">
        <v>58</v>
      </c>
      <c r="L23" s="2">
        <v>287</v>
      </c>
      <c r="M23" s="2">
        <v>-100</v>
      </c>
      <c r="N23" s="2">
        <v>2</v>
      </c>
      <c r="O23" s="2"/>
      <c r="P23" s="2">
        <v>0</v>
      </c>
      <c r="Q23" s="2"/>
      <c r="R23" s="2">
        <v>0</v>
      </c>
      <c r="AA23" s="2" t="s">
        <v>59</v>
      </c>
    </row>
    <row r="24" ht="15.75" customHeight="1">
      <c r="A24" s="1">
        <v>23</v>
      </c>
      <c r="B24" s="1"/>
      <c r="C24" s="1"/>
      <c r="D24" s="1">
        <v>1</v>
      </c>
      <c r="E24" s="4">
        <v>45044</v>
      </c>
      <c r="F24" s="5">
        <v>44849</v>
      </c>
      <c r="G24" s="5">
        <v>45397</v>
      </c>
      <c r="H24" s="2">
        <f>6+13/30</f>
        <v>6.4333333333333336</v>
      </c>
      <c r="I24" s="2">
        <v>6</v>
      </c>
      <c r="J24" s="2" t="s">
        <v>31</v>
      </c>
      <c r="K24" s="2" t="s">
        <v>60</v>
      </c>
      <c r="L24" s="2">
        <v>140</v>
      </c>
      <c r="M24" s="2">
        <v>-100</v>
      </c>
      <c r="N24" s="2">
        <v>2</v>
      </c>
      <c r="O24" s="2"/>
      <c r="P24" s="2">
        <v>0</v>
      </c>
      <c r="Q24" s="2"/>
      <c r="R24" s="2">
        <v>0</v>
      </c>
      <c r="AA24" s="2" t="s">
        <v>61</v>
      </c>
    </row>
    <row r="25" ht="15.75" customHeight="1">
      <c r="A25" s="1">
        <v>24</v>
      </c>
      <c r="B25" s="1"/>
      <c r="C25" s="1"/>
      <c r="D25" s="1">
        <v>1</v>
      </c>
      <c r="E25" s="4">
        <v>45057</v>
      </c>
      <c r="F25" s="5">
        <v>44948</v>
      </c>
      <c r="G25" s="5">
        <v>45495</v>
      </c>
      <c r="H25" s="2">
        <f>3+19/30</f>
        <v>3.6333333333333333</v>
      </c>
      <c r="I25" s="2">
        <v>3</v>
      </c>
      <c r="J25" s="2" t="s">
        <v>28</v>
      </c>
      <c r="K25" s="2" t="s">
        <v>62</v>
      </c>
      <c r="L25" s="2">
        <v>135</v>
      </c>
      <c r="M25" s="2">
        <v>100</v>
      </c>
      <c r="N25" s="2">
        <v>2</v>
      </c>
      <c r="O25" s="2"/>
      <c r="P25" s="2">
        <v>0</v>
      </c>
      <c r="Q25" s="2"/>
      <c r="R25" s="2">
        <v>0</v>
      </c>
      <c r="S25" s="2">
        <v>0</v>
      </c>
      <c r="T25" s="2">
        <v>1</v>
      </c>
      <c r="U25" s="2">
        <v>1</v>
      </c>
      <c r="W25" s="2">
        <v>2</v>
      </c>
      <c r="AA25" s="2" t="s">
        <v>63</v>
      </c>
    </row>
    <row r="26" s="13" customFormat="1" ht="15.75" hidden="1" customHeight="1">
      <c r="A26" s="14">
        <v>25</v>
      </c>
      <c r="B26" s="14"/>
      <c r="C26" s="14">
        <v>1</v>
      </c>
      <c r="D26" s="14"/>
      <c r="E26" s="15">
        <v>45057</v>
      </c>
      <c r="F26" s="16">
        <v>44938</v>
      </c>
      <c r="G26" s="16"/>
      <c r="H26" s="17">
        <v>3.2000000000000002</v>
      </c>
      <c r="I26" s="17">
        <v>3</v>
      </c>
      <c r="J26" s="17" t="s">
        <v>28</v>
      </c>
      <c r="K26" s="17"/>
      <c r="L26" s="17"/>
      <c r="M26" s="17">
        <v>-100</v>
      </c>
      <c r="N26" s="17">
        <v>1</v>
      </c>
      <c r="O26" s="17"/>
      <c r="P26" s="17">
        <v>0</v>
      </c>
      <c r="Q26" s="17"/>
      <c r="R26" s="17"/>
      <c r="S26" s="13"/>
      <c r="T26" s="17"/>
      <c r="U26" s="17"/>
      <c r="V26" s="17"/>
      <c r="W26" s="17"/>
      <c r="X26" s="17"/>
      <c r="Y26" s="17"/>
      <c r="Z26" s="17"/>
      <c r="AA26" s="17" t="s">
        <v>64</v>
      </c>
      <c r="AB26" s="17"/>
      <c r="AC26" s="17"/>
      <c r="AD26" s="18"/>
      <c r="AE26" s="17"/>
      <c r="AF26" s="17"/>
      <c r="AG26" s="17"/>
    </row>
    <row r="27" s="13" customFormat="1" ht="15.75" hidden="1" customHeight="1">
      <c r="A27" s="14">
        <v>26</v>
      </c>
      <c r="B27" s="14"/>
      <c r="C27" s="14">
        <v>1</v>
      </c>
      <c r="D27" s="14"/>
      <c r="E27" s="15">
        <v>45058</v>
      </c>
      <c r="F27" s="16">
        <v>44870</v>
      </c>
      <c r="G27" s="16"/>
      <c r="H27" s="17">
        <v>6.7000000000000002</v>
      </c>
      <c r="I27" s="17">
        <v>6</v>
      </c>
      <c r="J27" s="17" t="s">
        <v>28</v>
      </c>
      <c r="K27" s="17"/>
      <c r="L27" s="17"/>
      <c r="M27" s="17">
        <v>100</v>
      </c>
      <c r="N27" s="17">
        <v>2</v>
      </c>
      <c r="O27" s="17"/>
      <c r="P27" s="17">
        <v>0</v>
      </c>
      <c r="Q27" s="17"/>
      <c r="R27" s="17"/>
      <c r="S27" s="13"/>
      <c r="T27" s="17"/>
      <c r="U27" s="17"/>
      <c r="V27" s="17"/>
      <c r="W27" s="17"/>
      <c r="X27" s="17"/>
      <c r="Y27" s="17"/>
      <c r="Z27" s="17"/>
      <c r="AA27" s="17" t="s">
        <v>65</v>
      </c>
      <c r="AB27" s="17"/>
      <c r="AC27" s="17"/>
      <c r="AD27" s="18"/>
      <c r="AE27" s="17"/>
      <c r="AF27" s="17"/>
      <c r="AG27" s="17"/>
    </row>
    <row r="28" ht="15.75" customHeight="1">
      <c r="A28" s="1">
        <v>27</v>
      </c>
      <c r="B28" s="1"/>
      <c r="C28" s="1"/>
      <c r="D28" s="1">
        <v>1</v>
      </c>
      <c r="E28" s="4">
        <v>45058</v>
      </c>
      <c r="F28" s="5">
        <v>44951</v>
      </c>
      <c r="G28" s="5">
        <v>45498</v>
      </c>
      <c r="H28" s="2">
        <f>3+17/30</f>
        <v>3.5666666666666664</v>
      </c>
      <c r="I28" s="2">
        <v>3</v>
      </c>
      <c r="J28" s="2" t="s">
        <v>31</v>
      </c>
      <c r="K28" s="2" t="s">
        <v>66</v>
      </c>
      <c r="L28" s="2">
        <v>143</v>
      </c>
      <c r="M28" s="2">
        <v>-100</v>
      </c>
      <c r="N28" s="2">
        <v>2</v>
      </c>
      <c r="O28" s="2"/>
      <c r="P28" s="2">
        <v>0</v>
      </c>
      <c r="Q28" s="2"/>
      <c r="R28" s="2">
        <v>0</v>
      </c>
      <c r="S28" s="2">
        <v>1</v>
      </c>
      <c r="T28" s="2">
        <v>1</v>
      </c>
      <c r="U28" s="2">
        <v>1</v>
      </c>
      <c r="W28" s="2">
        <v>1</v>
      </c>
      <c r="AA28" s="2" t="s">
        <v>67</v>
      </c>
    </row>
    <row r="29" ht="15.75" customHeight="1">
      <c r="A29" s="1">
        <v>28</v>
      </c>
      <c r="B29" s="1"/>
      <c r="C29" s="1"/>
      <c r="D29" s="1">
        <v>1</v>
      </c>
      <c r="E29" s="4">
        <v>45058</v>
      </c>
      <c r="F29" s="5">
        <v>44774</v>
      </c>
      <c r="G29" s="5">
        <v>45323</v>
      </c>
      <c r="H29" s="2">
        <v>9.1099999999999994</v>
      </c>
      <c r="I29" s="2">
        <v>9</v>
      </c>
      <c r="J29" s="2" t="s">
        <v>31</v>
      </c>
      <c r="K29" s="2" t="s">
        <v>68</v>
      </c>
      <c r="L29" s="2">
        <v>179</v>
      </c>
      <c r="M29" s="2">
        <v>100</v>
      </c>
      <c r="N29" s="2">
        <v>2</v>
      </c>
      <c r="O29" s="2"/>
      <c r="P29" s="2">
        <v>0</v>
      </c>
      <c r="Q29" s="2"/>
      <c r="R29" s="2">
        <v>0</v>
      </c>
      <c r="AA29" s="2" t="s">
        <v>69</v>
      </c>
    </row>
    <row r="30" s="13" customFormat="1" ht="15.75" hidden="1" customHeight="1">
      <c r="A30" s="14">
        <v>29</v>
      </c>
      <c r="B30" s="14"/>
      <c r="C30" s="14">
        <v>1</v>
      </c>
      <c r="D30" s="14"/>
      <c r="E30" s="15">
        <v>45058</v>
      </c>
      <c r="F30" s="16">
        <v>44762</v>
      </c>
      <c r="G30" s="16"/>
      <c r="H30" s="17">
        <v>9.2300000000000004</v>
      </c>
      <c r="I30" s="17">
        <v>9</v>
      </c>
      <c r="J30" s="17" t="s">
        <v>31</v>
      </c>
      <c r="K30" s="17"/>
      <c r="L30" s="17"/>
      <c r="M30" s="17">
        <v>-100</v>
      </c>
      <c r="N30" s="17">
        <v>1</v>
      </c>
      <c r="O30" s="17"/>
      <c r="P30" s="17">
        <v>0</v>
      </c>
      <c r="Q30" s="17"/>
      <c r="R30" s="17"/>
      <c r="S30" s="13"/>
      <c r="T30" s="17"/>
      <c r="U30" s="17"/>
      <c r="V30" s="17"/>
      <c r="W30" s="17"/>
      <c r="X30" s="17"/>
      <c r="Y30" s="17"/>
      <c r="Z30" s="17"/>
      <c r="AA30" s="17" t="s">
        <v>70</v>
      </c>
      <c r="AB30" s="17"/>
      <c r="AC30" s="17"/>
      <c r="AD30" s="18"/>
      <c r="AE30" s="17"/>
      <c r="AF30" s="17"/>
      <c r="AG30" s="17"/>
    </row>
    <row r="31" ht="15.75" customHeight="1">
      <c r="A31" s="1">
        <v>30</v>
      </c>
      <c r="B31" s="1"/>
      <c r="C31" s="1"/>
      <c r="D31" s="1">
        <v>1</v>
      </c>
      <c r="E31" s="4">
        <v>45061</v>
      </c>
      <c r="F31" s="5">
        <v>44790</v>
      </c>
      <c r="G31" s="5">
        <v>45339</v>
      </c>
      <c r="H31" s="2">
        <v>8.2899999999999991</v>
      </c>
      <c r="I31" s="2">
        <v>9</v>
      </c>
      <c r="J31" s="2" t="s">
        <v>28</v>
      </c>
      <c r="K31" s="2" t="s">
        <v>71</v>
      </c>
      <c r="L31" s="2">
        <v>192</v>
      </c>
      <c r="M31" s="2">
        <v>100</v>
      </c>
      <c r="N31" s="2">
        <v>2</v>
      </c>
      <c r="O31" s="2"/>
      <c r="P31" s="2">
        <v>0</v>
      </c>
      <c r="Q31" s="2"/>
      <c r="R31" s="2">
        <v>0</v>
      </c>
      <c r="AA31" s="2" t="s">
        <v>72</v>
      </c>
    </row>
    <row r="32" ht="15.75" customHeight="1">
      <c r="A32" s="1">
        <v>31</v>
      </c>
      <c r="B32" s="1"/>
      <c r="C32" s="1"/>
      <c r="D32" s="1">
        <v>1</v>
      </c>
      <c r="E32" s="4">
        <v>45061</v>
      </c>
      <c r="F32" s="5">
        <v>44947</v>
      </c>
      <c r="G32" s="5">
        <v>45494</v>
      </c>
      <c r="H32" s="2">
        <f>3+24/30</f>
        <v>3.7999999999999998</v>
      </c>
      <c r="I32" s="2">
        <v>3</v>
      </c>
      <c r="J32" s="2" t="s">
        <v>28</v>
      </c>
      <c r="K32" s="2" t="s">
        <v>73</v>
      </c>
      <c r="L32" s="2">
        <v>146</v>
      </c>
      <c r="M32" s="2">
        <v>-100</v>
      </c>
      <c r="N32" s="2">
        <v>2</v>
      </c>
      <c r="O32" s="2"/>
      <c r="P32" s="2">
        <v>0</v>
      </c>
      <c r="Q32" s="2"/>
      <c r="R32" s="2">
        <v>0</v>
      </c>
      <c r="S32" s="2">
        <v>0</v>
      </c>
      <c r="T32" s="2">
        <v>1</v>
      </c>
      <c r="U32" s="2">
        <v>1</v>
      </c>
      <c r="W32" s="2">
        <v>2</v>
      </c>
      <c r="AA32" s="2" t="s">
        <v>74</v>
      </c>
    </row>
    <row r="33" s="6" customFormat="1" ht="15.75" hidden="1" customHeight="1">
      <c r="A33" s="7">
        <v>32</v>
      </c>
      <c r="B33" s="7">
        <v>1</v>
      </c>
      <c r="C33" s="7"/>
      <c r="D33" s="7"/>
      <c r="E33" s="8">
        <v>45061</v>
      </c>
      <c r="F33" s="9">
        <v>44951</v>
      </c>
      <c r="G33" s="9">
        <v>44951</v>
      </c>
      <c r="H33" s="10">
        <v>3.21</v>
      </c>
      <c r="I33" s="10">
        <v>3</v>
      </c>
      <c r="J33" s="10" t="s">
        <v>31</v>
      </c>
      <c r="K33" s="10"/>
      <c r="L33" s="10"/>
      <c r="M33" s="10">
        <v>-100</v>
      </c>
      <c r="N33" s="10">
        <v>2</v>
      </c>
      <c r="O33" s="10"/>
      <c r="P33" s="10">
        <v>0</v>
      </c>
      <c r="Q33" s="10"/>
      <c r="R33" s="10"/>
      <c r="S33" s="6"/>
      <c r="T33" s="10"/>
      <c r="U33" s="10"/>
      <c r="V33" s="10"/>
      <c r="W33" s="10"/>
      <c r="X33" s="10"/>
      <c r="Y33" s="10"/>
      <c r="Z33" s="10"/>
      <c r="AA33" s="10" t="s">
        <v>75</v>
      </c>
      <c r="AB33" s="10"/>
      <c r="AC33" s="10"/>
      <c r="AD33" s="11"/>
      <c r="AE33" s="10"/>
      <c r="AF33" s="10"/>
      <c r="AG33" s="10"/>
    </row>
    <row r="34" s="6" customFormat="1" ht="15.75" hidden="1" customHeight="1">
      <c r="A34" s="7">
        <v>33</v>
      </c>
      <c r="B34" s="7">
        <v>1</v>
      </c>
      <c r="C34" s="7"/>
      <c r="D34" s="7"/>
      <c r="E34" s="8">
        <v>45061</v>
      </c>
      <c r="F34" s="9">
        <v>44880</v>
      </c>
      <c r="G34" s="9">
        <v>44880</v>
      </c>
      <c r="H34" s="10">
        <v>6</v>
      </c>
      <c r="I34" s="10">
        <v>6</v>
      </c>
      <c r="J34" s="10" t="s">
        <v>28</v>
      </c>
      <c r="K34" s="10"/>
      <c r="L34" s="10"/>
      <c r="M34" s="10">
        <v>100</v>
      </c>
      <c r="N34" s="10">
        <v>2</v>
      </c>
      <c r="O34" s="10"/>
      <c r="P34" s="10">
        <v>0</v>
      </c>
      <c r="Q34" s="10"/>
      <c r="R34" s="10"/>
      <c r="S34" s="6"/>
      <c r="T34" s="10"/>
      <c r="U34" s="10"/>
      <c r="V34" s="10"/>
      <c r="W34" s="10"/>
      <c r="X34" s="10"/>
      <c r="Y34" s="10"/>
      <c r="Z34" s="10"/>
      <c r="AA34" s="10" t="s">
        <v>76</v>
      </c>
      <c r="AB34" s="10"/>
      <c r="AC34" s="10"/>
      <c r="AD34" s="11"/>
      <c r="AE34" s="10"/>
      <c r="AF34" s="10"/>
      <c r="AG34" s="10"/>
    </row>
    <row r="35" s="6" customFormat="1" ht="15.75" hidden="1" customHeight="1">
      <c r="A35" s="7">
        <v>34</v>
      </c>
      <c r="B35" s="7">
        <v>1</v>
      </c>
      <c r="C35" s="7"/>
      <c r="D35" s="7"/>
      <c r="E35" s="8">
        <v>45062</v>
      </c>
      <c r="F35" s="9">
        <v>44950</v>
      </c>
      <c r="G35" s="9">
        <v>44950</v>
      </c>
      <c r="H35" s="10">
        <v>3.23</v>
      </c>
      <c r="I35" s="10">
        <v>3</v>
      </c>
      <c r="J35" s="10" t="s">
        <v>28</v>
      </c>
      <c r="K35" s="10"/>
      <c r="L35" s="10"/>
      <c r="M35" s="10">
        <v>100</v>
      </c>
      <c r="N35" s="10">
        <v>1</v>
      </c>
      <c r="O35" s="10"/>
      <c r="P35" s="10">
        <v>0</v>
      </c>
      <c r="Q35" s="10"/>
      <c r="R35" s="10"/>
      <c r="S35" s="6"/>
      <c r="T35" s="10"/>
      <c r="U35" s="10"/>
      <c r="V35" s="10"/>
      <c r="W35" s="10"/>
      <c r="X35" s="10"/>
      <c r="Y35" s="10"/>
      <c r="Z35" s="10"/>
      <c r="AA35" s="10" t="s">
        <v>77</v>
      </c>
      <c r="AB35" s="10"/>
      <c r="AC35" s="10"/>
      <c r="AD35" s="11"/>
      <c r="AE35" s="10"/>
      <c r="AF35" s="10"/>
      <c r="AG35" s="10"/>
    </row>
    <row r="36" ht="15.75" customHeight="1">
      <c r="A36" s="1">
        <v>35</v>
      </c>
      <c r="B36" s="1"/>
      <c r="C36" s="1"/>
      <c r="D36" s="1">
        <v>1</v>
      </c>
      <c r="E36" s="4">
        <v>45063</v>
      </c>
      <c r="F36" s="5">
        <v>44786</v>
      </c>
      <c r="G36" s="5">
        <v>45335</v>
      </c>
      <c r="H36" s="2">
        <v>9.4000000000000004</v>
      </c>
      <c r="I36" s="2">
        <v>9</v>
      </c>
      <c r="J36" s="2" t="s">
        <v>31</v>
      </c>
      <c r="K36" s="2" t="s">
        <v>78</v>
      </c>
      <c r="L36" s="2">
        <v>113</v>
      </c>
      <c r="M36" s="2">
        <v>-100</v>
      </c>
      <c r="N36" s="2">
        <v>2</v>
      </c>
      <c r="O36" s="2"/>
      <c r="P36" s="2">
        <v>0</v>
      </c>
      <c r="Q36" s="2"/>
      <c r="R36" s="2">
        <v>0</v>
      </c>
      <c r="AA36" s="2" t="s">
        <v>79</v>
      </c>
    </row>
    <row r="37" ht="15.75" customHeight="1">
      <c r="A37" s="1">
        <v>36</v>
      </c>
      <c r="B37" s="1"/>
      <c r="C37" s="1"/>
      <c r="D37" s="1">
        <v>1</v>
      </c>
      <c r="E37" s="4">
        <v>45068</v>
      </c>
      <c r="F37" s="5">
        <v>44957</v>
      </c>
      <c r="G37" s="5">
        <v>45504</v>
      </c>
      <c r="H37" s="2">
        <f>3+22/30</f>
        <v>3.7333333333333334</v>
      </c>
      <c r="I37" s="2">
        <v>3</v>
      </c>
      <c r="J37" s="2" t="s">
        <v>31</v>
      </c>
      <c r="K37" s="2" t="s">
        <v>80</v>
      </c>
      <c r="L37" s="2">
        <v>245</v>
      </c>
      <c r="M37" s="2">
        <v>100</v>
      </c>
      <c r="N37" s="2">
        <v>2</v>
      </c>
      <c r="O37" s="2"/>
      <c r="P37" s="2">
        <v>0</v>
      </c>
      <c r="Q37" s="2"/>
      <c r="R37" s="2">
        <v>0</v>
      </c>
      <c r="S37" s="2">
        <v>0</v>
      </c>
      <c r="T37" s="2">
        <v>1</v>
      </c>
      <c r="U37" s="2">
        <v>0</v>
      </c>
      <c r="W37" s="2">
        <v>2</v>
      </c>
      <c r="AA37" s="2" t="s">
        <v>81</v>
      </c>
    </row>
    <row r="38" s="13" customFormat="1" ht="15.75" hidden="1" customHeight="1">
      <c r="A38" s="14">
        <v>37</v>
      </c>
      <c r="B38" s="14"/>
      <c r="C38" s="14">
        <v>1</v>
      </c>
      <c r="D38" s="14"/>
      <c r="E38" s="15">
        <v>45069</v>
      </c>
      <c r="F38" s="25">
        <v>44786</v>
      </c>
      <c r="G38" s="25"/>
      <c r="H38" s="17">
        <v>9.0999999999999996</v>
      </c>
      <c r="I38" s="17">
        <v>9</v>
      </c>
      <c r="J38" s="17" t="s">
        <v>31</v>
      </c>
      <c r="K38" s="17"/>
      <c r="L38" s="17"/>
      <c r="M38" s="17">
        <v>100</v>
      </c>
      <c r="N38" s="17">
        <v>1</v>
      </c>
      <c r="O38" s="17"/>
      <c r="P38" s="17">
        <v>0</v>
      </c>
      <c r="Q38" s="17"/>
      <c r="R38" s="17"/>
      <c r="S38" s="13"/>
      <c r="T38" s="17"/>
      <c r="U38" s="17"/>
      <c r="V38" s="17"/>
      <c r="W38" s="17"/>
      <c r="X38" s="17"/>
      <c r="Y38" s="17"/>
      <c r="Z38" s="17"/>
      <c r="AA38" s="17" t="s">
        <v>82</v>
      </c>
      <c r="AB38" s="17"/>
      <c r="AC38" s="17"/>
      <c r="AD38" s="18"/>
      <c r="AE38" s="17"/>
      <c r="AF38" s="17"/>
      <c r="AG38" s="17"/>
    </row>
    <row r="39" ht="15.75" customHeight="1">
      <c r="A39" s="1">
        <v>38</v>
      </c>
      <c r="B39" s="1"/>
      <c r="C39" s="1"/>
      <c r="D39" s="1">
        <v>1</v>
      </c>
      <c r="E39" s="4">
        <v>45071</v>
      </c>
      <c r="F39" s="5">
        <v>44878</v>
      </c>
      <c r="G39" s="5">
        <v>45425</v>
      </c>
      <c r="H39" s="2">
        <f>6+12/30</f>
        <v>6.4000000000000004</v>
      </c>
      <c r="I39" s="2">
        <v>6</v>
      </c>
      <c r="J39" s="2" t="s">
        <v>28</v>
      </c>
      <c r="K39" s="2" t="s">
        <v>83</v>
      </c>
      <c r="L39" s="2">
        <v>186</v>
      </c>
      <c r="M39" s="2">
        <v>100</v>
      </c>
      <c r="N39" s="2">
        <v>2</v>
      </c>
      <c r="O39" s="2"/>
      <c r="P39" s="2">
        <v>0</v>
      </c>
      <c r="Q39" s="2"/>
      <c r="R39" s="2">
        <v>0</v>
      </c>
      <c r="AA39" s="2" t="s">
        <v>84</v>
      </c>
    </row>
    <row r="40" s="13" customFormat="1" ht="15.75" hidden="1" customHeight="1">
      <c r="A40" s="14">
        <v>39</v>
      </c>
      <c r="B40" s="14"/>
      <c r="C40" s="14">
        <v>1</v>
      </c>
      <c r="D40" s="14"/>
      <c r="E40" s="15">
        <v>45072</v>
      </c>
      <c r="F40" s="16">
        <v>44785</v>
      </c>
      <c r="G40" s="16"/>
      <c r="H40" s="17">
        <v>9.1400000000000006</v>
      </c>
      <c r="I40" s="17">
        <v>9</v>
      </c>
      <c r="J40" s="17" t="s">
        <v>28</v>
      </c>
      <c r="K40" s="17"/>
      <c r="L40" s="17"/>
      <c r="M40" s="17">
        <v>-100</v>
      </c>
      <c r="N40" s="17">
        <v>2</v>
      </c>
      <c r="O40" s="17"/>
      <c r="P40" s="17">
        <v>0</v>
      </c>
      <c r="Q40" s="17"/>
      <c r="R40" s="17"/>
      <c r="S40" s="13"/>
      <c r="T40" s="17"/>
      <c r="U40" s="17"/>
      <c r="V40" s="17"/>
      <c r="W40" s="17"/>
      <c r="X40" s="17"/>
      <c r="Y40" s="17"/>
      <c r="Z40" s="17"/>
      <c r="AA40" s="17" t="s">
        <v>85</v>
      </c>
      <c r="AB40" s="17"/>
      <c r="AC40" s="17"/>
      <c r="AD40" s="18"/>
      <c r="AE40" s="17"/>
      <c r="AF40" s="17"/>
      <c r="AG40" s="17"/>
    </row>
    <row r="41" s="13" customFormat="1" ht="15.75" hidden="1" customHeight="1">
      <c r="A41" s="14">
        <v>40</v>
      </c>
      <c r="B41" s="14"/>
      <c r="C41" s="14">
        <v>1</v>
      </c>
      <c r="D41" s="14"/>
      <c r="E41" s="26">
        <v>45076</v>
      </c>
      <c r="F41" s="25">
        <v>44868</v>
      </c>
      <c r="G41" s="25"/>
      <c r="H41" s="17">
        <v>6.2699999999999996</v>
      </c>
      <c r="I41" s="17">
        <v>6</v>
      </c>
      <c r="J41" s="17" t="s">
        <v>31</v>
      </c>
      <c r="K41" s="17"/>
      <c r="L41" s="17"/>
      <c r="M41" s="17">
        <v>100</v>
      </c>
      <c r="N41" s="17">
        <v>2</v>
      </c>
      <c r="O41" s="17"/>
      <c r="P41" s="17">
        <v>0</v>
      </c>
      <c r="Q41" s="17"/>
      <c r="R41" s="17"/>
      <c r="S41" s="13"/>
      <c r="T41" s="17"/>
      <c r="U41" s="17"/>
      <c r="V41" s="17"/>
      <c r="W41" s="17"/>
      <c r="X41" s="17"/>
      <c r="Y41" s="17"/>
      <c r="Z41" s="17"/>
      <c r="AA41" s="17" t="s">
        <v>86</v>
      </c>
      <c r="AB41" s="17"/>
      <c r="AC41" s="17"/>
      <c r="AD41" s="18"/>
      <c r="AE41" s="17"/>
      <c r="AF41" s="17"/>
      <c r="AG41" s="17"/>
    </row>
    <row r="42" s="13" customFormat="1" ht="15.75" hidden="1" customHeight="1">
      <c r="A42" s="14">
        <v>41</v>
      </c>
      <c r="B42" s="14"/>
      <c r="C42" s="14">
        <v>1</v>
      </c>
      <c r="D42" s="14"/>
      <c r="E42" s="26">
        <v>45077</v>
      </c>
      <c r="F42" s="25">
        <v>44976</v>
      </c>
      <c r="G42" s="25"/>
      <c r="H42" s="17">
        <v>3.2999999999999998</v>
      </c>
      <c r="I42" s="17">
        <v>3</v>
      </c>
      <c r="J42" s="17" t="s">
        <v>31</v>
      </c>
      <c r="K42" s="17"/>
      <c r="L42" s="17"/>
      <c r="M42" s="17">
        <v>100</v>
      </c>
      <c r="N42" s="17">
        <v>2</v>
      </c>
      <c r="O42" s="17"/>
      <c r="P42" s="17">
        <v>0</v>
      </c>
      <c r="Q42" s="17"/>
      <c r="R42" s="17"/>
      <c r="S42" s="13"/>
      <c r="T42" s="17"/>
      <c r="U42" s="17"/>
      <c r="V42" s="17"/>
      <c r="W42" s="17"/>
      <c r="X42" s="17"/>
      <c r="Y42" s="17"/>
      <c r="Z42" s="17"/>
      <c r="AA42" s="17" t="s">
        <v>87</v>
      </c>
      <c r="AB42" s="17"/>
      <c r="AC42" s="17"/>
      <c r="AD42" s="18"/>
      <c r="AE42" s="17"/>
      <c r="AF42" s="17"/>
      <c r="AG42" s="17"/>
    </row>
    <row r="43" ht="15.75" customHeight="1">
      <c r="A43" s="1">
        <v>42</v>
      </c>
      <c r="B43" s="1"/>
      <c r="C43" s="1"/>
      <c r="D43" s="1">
        <v>1</v>
      </c>
      <c r="E43" s="27">
        <v>45090</v>
      </c>
      <c r="F43" s="28">
        <v>44834</v>
      </c>
      <c r="G43" s="28">
        <v>45381</v>
      </c>
      <c r="H43" s="2">
        <v>8.1300000000000008</v>
      </c>
      <c r="I43" s="2">
        <v>9</v>
      </c>
      <c r="J43" s="2" t="s">
        <v>31</v>
      </c>
      <c r="K43" s="2" t="s">
        <v>88</v>
      </c>
      <c r="L43" s="2">
        <v>99</v>
      </c>
      <c r="M43" s="2">
        <v>100</v>
      </c>
      <c r="N43" s="2">
        <v>1</v>
      </c>
      <c r="O43" s="2"/>
      <c r="P43" s="2">
        <v>0</v>
      </c>
      <c r="Q43" s="2"/>
      <c r="R43" s="2">
        <v>0</v>
      </c>
      <c r="AA43" s="2" t="s">
        <v>89</v>
      </c>
    </row>
    <row r="44" s="13" customFormat="1" ht="15.75" hidden="1" customHeight="1">
      <c r="A44" s="29">
        <v>43</v>
      </c>
      <c r="B44" s="29"/>
      <c r="C44" s="29">
        <v>1</v>
      </c>
      <c r="D44" s="29"/>
      <c r="E44" s="30">
        <v>45092</v>
      </c>
      <c r="F44" s="31">
        <v>44985</v>
      </c>
      <c r="G44" s="31"/>
      <c r="H44" s="32">
        <v>3.1499999999999999</v>
      </c>
      <c r="I44" s="32">
        <v>3</v>
      </c>
      <c r="J44" s="32" t="s">
        <v>28</v>
      </c>
      <c r="K44" s="32"/>
      <c r="L44" s="32"/>
      <c r="M44" s="32">
        <v>-100</v>
      </c>
      <c r="N44" s="32">
        <v>2</v>
      </c>
      <c r="O44" s="32"/>
      <c r="P44" s="32">
        <v>0</v>
      </c>
      <c r="Q44" s="32"/>
      <c r="R44" s="32"/>
      <c r="S44" s="13"/>
      <c r="T44" s="32"/>
      <c r="U44" s="32"/>
      <c r="V44" s="32"/>
      <c r="W44" s="32"/>
      <c r="X44" s="32"/>
      <c r="Y44" s="32"/>
      <c r="Z44" s="32"/>
      <c r="AA44" s="32" t="s">
        <v>90</v>
      </c>
      <c r="AB44" s="32"/>
      <c r="AC44" s="32"/>
      <c r="AD44" s="18"/>
      <c r="AE44" s="32"/>
      <c r="AF44" s="32"/>
      <c r="AG44" s="32"/>
    </row>
    <row r="45" s="13" customFormat="1" ht="15.75" hidden="1" customHeight="1">
      <c r="A45" s="14">
        <v>44</v>
      </c>
      <c r="B45" s="14"/>
      <c r="C45" s="14">
        <v>1</v>
      </c>
      <c r="D45" s="14"/>
      <c r="E45" s="26">
        <v>45093</v>
      </c>
      <c r="F45" s="25">
        <v>44791</v>
      </c>
      <c r="G45" s="25"/>
      <c r="H45" s="17">
        <v>9.2899999999999991</v>
      </c>
      <c r="I45" s="17">
        <v>9</v>
      </c>
      <c r="J45" s="17" t="s">
        <v>28</v>
      </c>
      <c r="K45" s="17"/>
      <c r="L45" s="17"/>
      <c r="M45" s="17">
        <v>-100</v>
      </c>
      <c r="N45" s="17">
        <v>2</v>
      </c>
      <c r="O45" s="17"/>
      <c r="P45" s="17">
        <v>0</v>
      </c>
      <c r="Q45" s="17"/>
      <c r="R45" s="17"/>
      <c r="S45" s="13"/>
      <c r="T45" s="17"/>
      <c r="U45" s="17"/>
      <c r="V45" s="17"/>
      <c r="W45" s="17"/>
      <c r="X45" s="17"/>
      <c r="Y45" s="17"/>
      <c r="Z45" s="17"/>
      <c r="AA45" s="17" t="s">
        <v>91</v>
      </c>
      <c r="AB45" s="17"/>
      <c r="AC45" s="17"/>
      <c r="AD45" s="18"/>
      <c r="AE45" s="17"/>
      <c r="AF45" s="17"/>
      <c r="AG45" s="17"/>
    </row>
    <row r="46" ht="15.75" customHeight="1">
      <c r="A46" s="1">
        <v>45</v>
      </c>
      <c r="B46" s="1"/>
      <c r="C46" s="1"/>
      <c r="D46" s="1">
        <v>1</v>
      </c>
      <c r="E46" s="27">
        <v>45093</v>
      </c>
      <c r="F46" s="28">
        <v>44899</v>
      </c>
      <c r="G46" s="28">
        <v>45447</v>
      </c>
      <c r="H46" s="2">
        <f>6+12/30</f>
        <v>6.4000000000000004</v>
      </c>
      <c r="I46" s="2">
        <v>6</v>
      </c>
      <c r="J46" s="2" t="s">
        <v>28</v>
      </c>
      <c r="K46" s="2" t="s">
        <v>52</v>
      </c>
      <c r="L46" s="2">
        <v>76</v>
      </c>
      <c r="M46" s="2">
        <v>100</v>
      </c>
      <c r="N46" s="2">
        <v>2</v>
      </c>
      <c r="O46" s="2"/>
      <c r="P46" s="2">
        <v>0</v>
      </c>
      <c r="Q46" s="2"/>
      <c r="R46" s="2">
        <v>0</v>
      </c>
      <c r="AA46" s="2" t="s">
        <v>92</v>
      </c>
    </row>
    <row r="47" s="10" customFormat="1" ht="15.75" hidden="1" customHeight="1">
      <c r="A47" s="7">
        <v>46</v>
      </c>
      <c r="B47" s="7">
        <v>1</v>
      </c>
      <c r="C47" s="7"/>
      <c r="D47" s="7"/>
      <c r="E47" s="33">
        <v>45378</v>
      </c>
      <c r="F47" s="34">
        <v>45184</v>
      </c>
      <c r="G47" s="10"/>
      <c r="H47" s="10"/>
      <c r="I47" s="10">
        <v>6</v>
      </c>
      <c r="J47" s="10" t="s">
        <v>31</v>
      </c>
      <c r="K47" s="10"/>
      <c r="L47" s="10"/>
      <c r="M47" s="10">
        <v>-100</v>
      </c>
      <c r="N47" s="10">
        <v>1</v>
      </c>
      <c r="O47" s="10"/>
      <c r="P47" s="10">
        <v>0</v>
      </c>
      <c r="Q47" s="10"/>
      <c r="R47" s="10"/>
      <c r="S47" s="10"/>
      <c r="T47" s="10"/>
      <c r="U47" s="10"/>
      <c r="V47" s="10"/>
      <c r="W47" s="10"/>
      <c r="X47" s="10"/>
      <c r="Y47" s="10"/>
      <c r="Z47" s="10"/>
      <c r="AA47" s="10" t="s">
        <v>93</v>
      </c>
      <c r="AB47" s="10"/>
      <c r="AC47" s="10"/>
      <c r="AD47" s="11"/>
      <c r="AE47" s="10"/>
      <c r="AF47" s="10"/>
      <c r="AG47" s="10"/>
    </row>
    <row r="48" ht="15.75" customHeight="1">
      <c r="A48" s="1">
        <v>47</v>
      </c>
      <c r="D48" s="1">
        <v>1</v>
      </c>
      <c r="E48" s="35">
        <v>45386</v>
      </c>
      <c r="F48" s="36">
        <v>45194</v>
      </c>
      <c r="G48" s="28">
        <v>45713</v>
      </c>
      <c r="H48" s="2">
        <f>6+9/30</f>
        <v>6.2999999999999998</v>
      </c>
      <c r="I48" s="2">
        <v>6</v>
      </c>
      <c r="J48" s="2" t="s">
        <v>28</v>
      </c>
      <c r="K48" s="2" t="s">
        <v>94</v>
      </c>
      <c r="L48" s="2">
        <v>155</v>
      </c>
      <c r="M48" s="2">
        <v>-100</v>
      </c>
      <c r="N48" s="2">
        <v>1</v>
      </c>
      <c r="O48" s="2"/>
      <c r="P48" s="2">
        <v>0</v>
      </c>
      <c r="Q48" s="2"/>
      <c r="R48" s="2">
        <v>0</v>
      </c>
      <c r="S48" s="2">
        <v>0</v>
      </c>
      <c r="T48" s="2">
        <v>1</v>
      </c>
      <c r="U48" s="2">
        <v>1</v>
      </c>
      <c r="V48" s="2">
        <v>1</v>
      </c>
      <c r="W48" s="2">
        <v>2</v>
      </c>
      <c r="X48" s="2">
        <v>0</v>
      </c>
      <c r="AA48" s="2" t="s">
        <v>95</v>
      </c>
    </row>
    <row r="49" s="37" customFormat="1" ht="15.75" hidden="1" customHeight="1">
      <c r="A49" s="38">
        <v>48</v>
      </c>
      <c r="B49" s="38">
        <v>1</v>
      </c>
      <c r="C49" s="38"/>
      <c r="D49" s="39"/>
      <c r="E49" s="40"/>
      <c r="F49" s="41"/>
      <c r="G49" s="37"/>
      <c r="H49" s="42">
        <f>6+(6/30)</f>
        <v>6.2000000000000002</v>
      </c>
      <c r="I49" s="42">
        <v>6</v>
      </c>
      <c r="J49" s="42" t="s">
        <v>28</v>
      </c>
      <c r="K49" s="37"/>
      <c r="L49" s="37"/>
      <c r="M49" s="42">
        <v>-100</v>
      </c>
      <c r="N49" s="42">
        <v>1</v>
      </c>
      <c r="O49" s="42"/>
      <c r="P49" s="42">
        <v>0</v>
      </c>
      <c r="Q49" s="42"/>
      <c r="R49" s="42"/>
      <c r="T49" s="37"/>
      <c r="U49" s="37"/>
      <c r="V49" s="37"/>
      <c r="W49" s="37"/>
      <c r="X49" s="37"/>
      <c r="Y49" s="37"/>
      <c r="Z49" s="37"/>
      <c r="AA49" s="42" t="s">
        <v>96</v>
      </c>
      <c r="AB49" s="37"/>
      <c r="AC49" s="37"/>
      <c r="AD49" s="43"/>
      <c r="AE49" s="37"/>
      <c r="AF49" s="37"/>
      <c r="AG49" s="37"/>
    </row>
    <row r="50" s="13" customFormat="1" ht="15.75" hidden="1" customHeight="1">
      <c r="A50" s="14">
        <v>49</v>
      </c>
      <c r="B50" s="44"/>
      <c r="C50" s="14">
        <v>1</v>
      </c>
      <c r="D50" s="44"/>
      <c r="E50" s="45">
        <v>45390</v>
      </c>
      <c r="F50" s="46">
        <v>45263</v>
      </c>
      <c r="G50" s="13"/>
      <c r="H50" s="17">
        <f>4+5/30</f>
        <v>4.166666666666667</v>
      </c>
      <c r="I50" s="17">
        <v>3</v>
      </c>
      <c r="J50" s="17" t="s">
        <v>31</v>
      </c>
      <c r="K50" s="14" t="s">
        <v>97</v>
      </c>
      <c r="L50" s="14"/>
      <c r="M50" s="17">
        <v>100</v>
      </c>
      <c r="N50" s="17">
        <v>1</v>
      </c>
      <c r="O50" s="17"/>
      <c r="P50" s="17">
        <v>0</v>
      </c>
      <c r="Q50" s="17"/>
      <c r="R50" s="17"/>
      <c r="S50" s="13"/>
      <c r="T50" s="13"/>
      <c r="U50" s="13"/>
      <c r="V50" s="13"/>
      <c r="W50" s="13"/>
      <c r="X50" s="13"/>
      <c r="Y50" s="13"/>
      <c r="Z50" s="13"/>
      <c r="AA50" s="17" t="s">
        <v>98</v>
      </c>
      <c r="AB50" s="13"/>
      <c r="AC50" s="13"/>
      <c r="AD50" s="47"/>
      <c r="AE50" s="13"/>
      <c r="AF50" s="13"/>
      <c r="AG50" s="13"/>
    </row>
    <row r="51" s="48" customFormat="1" ht="15.75" hidden="1" customHeight="1">
      <c r="A51" s="49">
        <v>50</v>
      </c>
      <c r="B51" s="49">
        <v>1</v>
      </c>
      <c r="C51" s="48"/>
      <c r="D51" s="49"/>
      <c r="E51" s="50">
        <v>45392</v>
      </c>
      <c r="F51" s="51">
        <v>45262</v>
      </c>
      <c r="G51" s="51">
        <v>45810</v>
      </c>
      <c r="H51" s="52">
        <f>4+7/30</f>
        <v>4.2333333333333334</v>
      </c>
      <c r="I51" s="52">
        <v>3</v>
      </c>
      <c r="J51" s="52" t="s">
        <v>31</v>
      </c>
      <c r="K51" s="52" t="s">
        <v>99</v>
      </c>
      <c r="L51" s="52">
        <v>209</v>
      </c>
      <c r="M51" s="52">
        <v>100</v>
      </c>
      <c r="N51" s="52">
        <v>1</v>
      </c>
      <c r="O51" s="52"/>
      <c r="P51" s="52">
        <v>0</v>
      </c>
      <c r="Q51" s="52"/>
      <c r="R51" s="52">
        <v>1</v>
      </c>
      <c r="S51" s="52">
        <v>1</v>
      </c>
      <c r="T51" s="52">
        <v>1</v>
      </c>
      <c r="U51" s="52">
        <v>1</v>
      </c>
      <c r="V51" s="52" t="s">
        <v>100</v>
      </c>
      <c r="W51" s="52">
        <v>2</v>
      </c>
      <c r="X51" s="52">
        <v>0</v>
      </c>
      <c r="Y51" s="52" t="s">
        <v>100</v>
      </c>
      <c r="Z51" s="52"/>
      <c r="AA51" s="48" t="s">
        <v>101</v>
      </c>
      <c r="AB51" s="48"/>
      <c r="AC51" s="48"/>
      <c r="AD51" s="53" t="s">
        <v>102</v>
      </c>
      <c r="AE51" s="48"/>
      <c r="AF51" s="48"/>
      <c r="AG51" s="48"/>
    </row>
    <row r="52" s="48" customFormat="1" ht="15.75" hidden="1" customHeight="1">
      <c r="A52" s="49">
        <v>51</v>
      </c>
      <c r="B52" s="54">
        <v>1</v>
      </c>
      <c r="C52" s="54"/>
      <c r="D52" s="55"/>
      <c r="E52" s="50">
        <v>45397</v>
      </c>
      <c r="F52" s="51">
        <v>45262</v>
      </c>
      <c r="G52" s="51">
        <v>45810</v>
      </c>
      <c r="H52" s="52">
        <f>4+12/30</f>
        <v>4.4000000000000004</v>
      </c>
      <c r="I52" s="52">
        <v>3</v>
      </c>
      <c r="J52" s="52" t="s">
        <v>31</v>
      </c>
      <c r="K52" s="52" t="s">
        <v>103</v>
      </c>
      <c r="L52" s="52">
        <v>243</v>
      </c>
      <c r="M52" s="52">
        <v>-100</v>
      </c>
      <c r="N52" s="52">
        <v>1</v>
      </c>
      <c r="O52" s="52"/>
      <c r="P52" s="52">
        <v>0</v>
      </c>
      <c r="Q52" s="52"/>
      <c r="R52" s="52">
        <v>1</v>
      </c>
      <c r="S52" s="48"/>
      <c r="T52" s="48"/>
      <c r="U52" s="48"/>
      <c r="V52" s="48"/>
      <c r="W52" s="48"/>
      <c r="X52" s="48"/>
      <c r="Y52" s="48"/>
      <c r="Z52" s="48"/>
      <c r="AA52" s="48" t="s">
        <v>104</v>
      </c>
      <c r="AB52" s="48"/>
      <c r="AC52" s="48"/>
      <c r="AD52" s="56" t="s">
        <v>105</v>
      </c>
      <c r="AE52" s="48"/>
      <c r="AF52" s="48"/>
      <c r="AG52" s="48"/>
    </row>
    <row r="53" ht="15.75" customHeight="1">
      <c r="A53" s="1">
        <v>52</v>
      </c>
      <c r="B53" s="57"/>
      <c r="C53" s="57"/>
      <c r="D53" s="57">
        <v>1</v>
      </c>
      <c r="E53" s="58">
        <v>45406</v>
      </c>
      <c r="F53" s="28">
        <v>45214</v>
      </c>
      <c r="G53" s="28">
        <v>45762</v>
      </c>
      <c r="H53" s="2">
        <f>6+9/30</f>
        <v>6.2999999999999998</v>
      </c>
      <c r="I53" s="2">
        <v>6</v>
      </c>
      <c r="J53" s="2" t="s">
        <v>28</v>
      </c>
      <c r="K53" s="2" t="s">
        <v>106</v>
      </c>
      <c r="L53" s="2">
        <v>150</v>
      </c>
      <c r="M53" s="2">
        <v>-100</v>
      </c>
      <c r="N53" s="2">
        <v>1</v>
      </c>
      <c r="O53" s="2">
        <v>2</v>
      </c>
      <c r="P53" s="2">
        <v>0</v>
      </c>
      <c r="Q53" s="2"/>
      <c r="R53" s="2">
        <v>0</v>
      </c>
      <c r="S53" s="2">
        <v>1</v>
      </c>
      <c r="T53" s="2">
        <v>1</v>
      </c>
      <c r="U53" s="2">
        <v>1</v>
      </c>
      <c r="V53" s="2">
        <v>1</v>
      </c>
      <c r="W53" s="2">
        <v>3</v>
      </c>
      <c r="X53" s="2">
        <v>0</v>
      </c>
      <c r="Y53" s="2" t="s">
        <v>107</v>
      </c>
      <c r="Z53" s="2">
        <v>0</v>
      </c>
      <c r="AA53" t="s">
        <v>108</v>
      </c>
    </row>
    <row r="54" ht="15.75" hidden="1" customHeight="1">
      <c r="A54" s="14">
        <v>53</v>
      </c>
      <c r="B54" s="44"/>
      <c r="C54" s="44">
        <v>1</v>
      </c>
      <c r="D54" s="44"/>
      <c r="E54" s="59">
        <v>45406</v>
      </c>
      <c r="F54" s="25">
        <v>45215</v>
      </c>
      <c r="G54" s="25"/>
      <c r="H54" s="17">
        <f>6+8/30</f>
        <v>6.2666666666666666</v>
      </c>
      <c r="I54" s="17">
        <v>6</v>
      </c>
      <c r="J54" s="17" t="s">
        <v>28</v>
      </c>
      <c r="K54" s="17"/>
      <c r="L54" s="17"/>
      <c r="M54" s="17">
        <v>100</v>
      </c>
      <c r="N54" s="17">
        <v>1</v>
      </c>
      <c r="O54" s="17">
        <v>2</v>
      </c>
      <c r="P54" s="17">
        <v>0</v>
      </c>
      <c r="Q54" s="17"/>
      <c r="R54" s="17"/>
      <c r="S54" s="17">
        <v>0</v>
      </c>
      <c r="T54" s="17">
        <v>1</v>
      </c>
      <c r="U54" s="17">
        <v>1</v>
      </c>
      <c r="V54" s="17">
        <v>0</v>
      </c>
      <c r="W54" s="17">
        <v>2</v>
      </c>
      <c r="X54" s="17">
        <v>0</v>
      </c>
      <c r="Y54" s="17" t="s">
        <v>109</v>
      </c>
      <c r="Z54" s="17">
        <v>0</v>
      </c>
      <c r="AA54" s="13" t="s">
        <v>110</v>
      </c>
      <c r="AB54" s="17"/>
      <c r="AC54" s="17"/>
      <c r="AD54" s="18"/>
      <c r="AE54" s="17"/>
      <c r="AF54" s="17"/>
      <c r="AG54" s="17"/>
      <c r="AH54" s="13"/>
      <c r="AI54" s="13"/>
      <c r="AJ54" s="13"/>
      <c r="AK54" s="13"/>
      <c r="AL54" s="13"/>
    </row>
    <row r="55" s="6" customFormat="1" ht="15.75" hidden="1" customHeight="1">
      <c r="A55" s="7">
        <v>54</v>
      </c>
      <c r="B55" s="60">
        <v>1</v>
      </c>
      <c r="C55" s="61"/>
      <c r="D55" s="61"/>
      <c r="E55" s="62">
        <v>45407</v>
      </c>
      <c r="F55" s="63">
        <v>45298</v>
      </c>
      <c r="G55" s="12">
        <v>45845</v>
      </c>
      <c r="H55" s="6"/>
      <c r="I55" s="10">
        <v>3</v>
      </c>
      <c r="J55" s="10" t="s">
        <v>28</v>
      </c>
      <c r="K55" s="10" t="s">
        <v>111</v>
      </c>
      <c r="L55" s="10">
        <v>493</v>
      </c>
      <c r="M55" s="10">
        <v>100</v>
      </c>
      <c r="N55" s="10">
        <v>2</v>
      </c>
      <c r="O55" s="10">
        <v>2</v>
      </c>
      <c r="P55" s="10">
        <v>0</v>
      </c>
      <c r="Q55" s="10"/>
      <c r="R55" s="10">
        <v>0</v>
      </c>
      <c r="S55" s="10">
        <v>1</v>
      </c>
      <c r="T55" s="10">
        <v>1</v>
      </c>
      <c r="U55" s="10">
        <v>1</v>
      </c>
      <c r="V55" s="6"/>
      <c r="W55" s="10">
        <v>2</v>
      </c>
      <c r="X55" s="10">
        <v>0</v>
      </c>
      <c r="Y55" s="10" t="s">
        <v>112</v>
      </c>
      <c r="Z55" s="10">
        <v>0</v>
      </c>
      <c r="AA55" s="6" t="s">
        <v>113</v>
      </c>
      <c r="AB55" s="6"/>
      <c r="AC55" s="6"/>
      <c r="AD55" s="6" t="s">
        <v>114</v>
      </c>
      <c r="AE55" s="6"/>
      <c r="AF55" s="6"/>
      <c r="AG55" s="6"/>
    </row>
    <row r="56" s="48" customFormat="1" ht="15.75" hidden="1" customHeight="1">
      <c r="A56" s="49">
        <v>55</v>
      </c>
      <c r="B56" s="64">
        <v>1</v>
      </c>
      <c r="C56" s="54"/>
      <c r="D56" s="54"/>
      <c r="E56" s="50">
        <v>45412</v>
      </c>
      <c r="F56" s="51">
        <v>45301</v>
      </c>
      <c r="G56" s="51">
        <v>45848</v>
      </c>
      <c r="H56" s="52">
        <f>3+20/30</f>
        <v>3.6666666666666665</v>
      </c>
      <c r="I56" s="52">
        <v>3</v>
      </c>
      <c r="J56" s="52" t="s">
        <v>28</v>
      </c>
      <c r="K56" s="52" t="s">
        <v>115</v>
      </c>
      <c r="L56" s="52">
        <v>182</v>
      </c>
      <c r="M56" s="52">
        <v>-100</v>
      </c>
      <c r="N56" s="52">
        <v>1</v>
      </c>
      <c r="O56" s="52">
        <v>2</v>
      </c>
      <c r="P56" s="52">
        <v>0</v>
      </c>
      <c r="Q56" s="52"/>
      <c r="R56" s="52">
        <v>0</v>
      </c>
      <c r="S56" s="48"/>
      <c r="T56" s="48"/>
      <c r="U56" s="48"/>
      <c r="V56" s="48"/>
      <c r="W56" s="48"/>
      <c r="X56" s="52"/>
      <c r="Y56" s="48"/>
      <c r="Z56" s="52">
        <v>0</v>
      </c>
      <c r="AA56" s="48" t="s">
        <v>116</v>
      </c>
      <c r="AB56" s="48"/>
      <c r="AC56" s="48"/>
      <c r="AD56" s="48" t="s">
        <v>117</v>
      </c>
      <c r="AE56" s="48"/>
      <c r="AF56" s="48"/>
      <c r="AG56" s="48"/>
    </row>
    <row r="57" s="0" customFormat="1" ht="15.75" customHeight="1">
      <c r="A57" s="1">
        <v>56</v>
      </c>
      <c r="B57" s="57"/>
      <c r="C57" s="57"/>
      <c r="D57" s="65">
        <v>1</v>
      </c>
      <c r="E57" s="27">
        <v>45412</v>
      </c>
      <c r="F57" s="28">
        <v>45219</v>
      </c>
      <c r="G57" s="28">
        <v>45767</v>
      </c>
      <c r="H57" s="2">
        <f>6+10/30</f>
        <v>6.333333333333333</v>
      </c>
      <c r="I57" s="2">
        <v>6</v>
      </c>
      <c r="J57" s="2" t="s">
        <v>31</v>
      </c>
      <c r="K57" s="2" t="s">
        <v>118</v>
      </c>
      <c r="L57" s="2">
        <v>195</v>
      </c>
      <c r="M57" s="2">
        <v>100</v>
      </c>
      <c r="N57" s="2">
        <v>1</v>
      </c>
      <c r="O57" s="2">
        <v>2</v>
      </c>
      <c r="P57" s="2">
        <v>0</v>
      </c>
      <c r="Q57" s="2"/>
      <c r="R57" s="2">
        <v>1</v>
      </c>
      <c r="Z57" s="2">
        <v>0</v>
      </c>
      <c r="AA57" t="s">
        <v>119</v>
      </c>
      <c r="AD57" s="66" t="s">
        <v>120</v>
      </c>
    </row>
    <row r="58" ht="15.75" hidden="1" customHeight="1">
      <c r="A58" s="67">
        <v>57</v>
      </c>
      <c r="B58" s="68">
        <v>1</v>
      </c>
      <c r="C58" s="68"/>
      <c r="D58" s="68"/>
      <c r="E58" s="69">
        <v>45414</v>
      </c>
      <c r="F58" s="70"/>
      <c r="G58" s="70"/>
      <c r="H58" s="70"/>
      <c r="I58" s="70">
        <v>3</v>
      </c>
      <c r="J58" s="70" t="s">
        <v>28</v>
      </c>
      <c r="K58" s="70"/>
      <c r="L58" s="70"/>
      <c r="M58" s="70">
        <v>100</v>
      </c>
      <c r="N58" s="70">
        <v>1</v>
      </c>
      <c r="O58" s="10">
        <v>2</v>
      </c>
      <c r="P58" s="70">
        <v>0</v>
      </c>
      <c r="Q58" s="70"/>
      <c r="R58" s="70"/>
      <c r="S58" s="70"/>
      <c r="T58" s="70"/>
      <c r="U58" s="70"/>
      <c r="V58" s="70"/>
      <c r="W58" s="70"/>
      <c r="X58" s="70"/>
      <c r="Y58" s="70"/>
      <c r="Z58" s="70">
        <v>0</v>
      </c>
      <c r="AA58" s="71" t="s">
        <v>121</v>
      </c>
      <c r="AB58" s="70"/>
      <c r="AC58" s="70"/>
      <c r="AD58" s="72"/>
      <c r="AE58" s="70"/>
      <c r="AF58" s="70"/>
      <c r="AG58" s="70"/>
      <c r="AH58" s="71"/>
      <c r="AI58" s="71"/>
      <c r="AJ58" s="71"/>
      <c r="AK58" s="71"/>
      <c r="AL58" s="71"/>
      <c r="AM58" s="71"/>
      <c r="AN58" s="71"/>
      <c r="AO58" s="71"/>
      <c r="AP58" s="71"/>
    </row>
    <row r="59" s="0" customFormat="1" ht="15.75" customHeight="1">
      <c r="A59" s="1">
        <v>58</v>
      </c>
      <c r="B59" s="57"/>
      <c r="C59" s="57"/>
      <c r="D59" s="73">
        <v>1</v>
      </c>
      <c r="E59" s="27">
        <v>45415</v>
      </c>
      <c r="F59" s="28">
        <v>45217</v>
      </c>
      <c r="G59" s="28">
        <v>45765</v>
      </c>
      <c r="H59" s="2">
        <f>6+15/30</f>
        <v>6.5</v>
      </c>
      <c r="I59" s="2">
        <v>6</v>
      </c>
      <c r="J59" s="2" t="s">
        <v>31</v>
      </c>
      <c r="K59" s="2" t="s">
        <v>122</v>
      </c>
      <c r="L59" s="2">
        <v>141</v>
      </c>
      <c r="M59" s="2">
        <v>100</v>
      </c>
      <c r="N59" s="2">
        <v>1</v>
      </c>
      <c r="O59" s="2">
        <v>2</v>
      </c>
      <c r="P59" s="2">
        <v>0</v>
      </c>
      <c r="Q59" s="2"/>
      <c r="R59" s="74">
        <v>1</v>
      </c>
      <c r="S59" s="2">
        <v>0</v>
      </c>
      <c r="T59" s="2">
        <v>1</v>
      </c>
      <c r="U59" s="2">
        <v>1</v>
      </c>
      <c r="V59" s="2">
        <v>0</v>
      </c>
      <c r="W59" s="2">
        <v>2</v>
      </c>
      <c r="X59" s="2">
        <v>0</v>
      </c>
      <c r="Y59" s="2" t="s">
        <v>123</v>
      </c>
      <c r="Z59" s="2">
        <v>0</v>
      </c>
      <c r="AA59" t="s">
        <v>124</v>
      </c>
      <c r="AD59" s="75" t="s">
        <v>125</v>
      </c>
    </row>
    <row r="60" s="48" customFormat="1" ht="15.75" hidden="1" customHeight="1">
      <c r="A60" s="49">
        <v>59</v>
      </c>
      <c r="B60" s="64">
        <v>1</v>
      </c>
      <c r="C60" s="54"/>
      <c r="D60" s="54"/>
      <c r="E60" s="50">
        <v>45415</v>
      </c>
      <c r="F60" s="51">
        <v>45300</v>
      </c>
      <c r="G60" s="51">
        <v>45847</v>
      </c>
      <c r="H60" s="52">
        <f>3+24/30</f>
        <v>3.7999999999999998</v>
      </c>
      <c r="I60" s="52">
        <v>3</v>
      </c>
      <c r="J60" s="52" t="s">
        <v>28</v>
      </c>
      <c r="K60" s="52" t="s">
        <v>126</v>
      </c>
      <c r="L60" s="52">
        <v>115</v>
      </c>
      <c r="M60" s="52">
        <v>100</v>
      </c>
      <c r="N60" s="52">
        <v>1</v>
      </c>
      <c r="O60" s="52">
        <v>2</v>
      </c>
      <c r="P60" s="52">
        <v>0</v>
      </c>
      <c r="Q60" s="52"/>
      <c r="R60" s="52">
        <v>0</v>
      </c>
      <c r="S60" s="52">
        <v>0</v>
      </c>
      <c r="T60" s="52">
        <v>1</v>
      </c>
      <c r="U60" s="52">
        <v>0</v>
      </c>
      <c r="V60" s="48"/>
      <c r="W60" s="52">
        <v>2</v>
      </c>
      <c r="X60" s="52">
        <v>0</v>
      </c>
      <c r="Y60" s="52" t="s">
        <v>127</v>
      </c>
      <c r="Z60" s="52">
        <v>0</v>
      </c>
      <c r="AA60" s="48" t="s">
        <v>128</v>
      </c>
      <c r="AB60" s="48"/>
      <c r="AC60" s="48"/>
      <c r="AD60" s="53" t="s">
        <v>117</v>
      </c>
      <c r="AE60" s="48"/>
      <c r="AF60" s="48"/>
      <c r="AG60" s="48"/>
    </row>
    <row r="61" s="48" customFormat="1" ht="15.75" hidden="1" customHeight="1">
      <c r="A61" s="49">
        <v>60</v>
      </c>
      <c r="B61" s="55">
        <v>1</v>
      </c>
      <c r="C61" s="49"/>
      <c r="E61" s="50">
        <v>45418</v>
      </c>
      <c r="F61" s="51">
        <v>45311</v>
      </c>
      <c r="G61" s="51">
        <v>45858</v>
      </c>
      <c r="H61" s="52">
        <f>3+16/30</f>
        <v>3.5333333333333332</v>
      </c>
      <c r="I61" s="52">
        <v>3</v>
      </c>
      <c r="J61" s="52" t="s">
        <v>28</v>
      </c>
      <c r="K61" s="52" t="s">
        <v>129</v>
      </c>
      <c r="L61" s="52">
        <v>315</v>
      </c>
      <c r="M61" s="52">
        <v>-100</v>
      </c>
      <c r="N61" s="52">
        <v>1</v>
      </c>
      <c r="O61" s="52">
        <v>2</v>
      </c>
      <c r="P61" s="52">
        <v>0</v>
      </c>
      <c r="Q61" s="52"/>
      <c r="R61" s="52">
        <v>1</v>
      </c>
      <c r="S61" s="52">
        <v>0</v>
      </c>
      <c r="T61" s="52">
        <v>1</v>
      </c>
      <c r="U61" s="52">
        <v>1</v>
      </c>
      <c r="V61" s="48"/>
      <c r="W61" s="52">
        <v>2</v>
      </c>
      <c r="X61" s="52">
        <v>0</v>
      </c>
      <c r="Y61" s="52" t="s">
        <v>130</v>
      </c>
      <c r="Z61" s="52">
        <v>0</v>
      </c>
      <c r="AA61" s="48" t="s">
        <v>131</v>
      </c>
      <c r="AB61" s="48"/>
      <c r="AC61" s="48"/>
      <c r="AD61" s="53" t="s">
        <v>117</v>
      </c>
      <c r="AE61" s="48"/>
      <c r="AF61" s="48"/>
      <c r="AG61" s="48"/>
    </row>
    <row r="62" s="0" customFormat="1" ht="15.75" customHeight="1">
      <c r="A62" s="1">
        <v>61</v>
      </c>
      <c r="B62" s="1"/>
      <c r="C62" s="1"/>
      <c r="D62" s="76">
        <v>1</v>
      </c>
      <c r="E62" s="27">
        <v>45419</v>
      </c>
      <c r="F62" s="28">
        <v>45310</v>
      </c>
      <c r="G62" s="28">
        <v>45857</v>
      </c>
      <c r="H62" s="2">
        <f>3+18/30</f>
        <v>3.6000000000000001</v>
      </c>
      <c r="I62" s="2">
        <v>3</v>
      </c>
      <c r="J62" s="2" t="s">
        <v>28</v>
      </c>
      <c r="K62" s="2" t="s">
        <v>132</v>
      </c>
      <c r="L62" s="2">
        <v>114</v>
      </c>
      <c r="M62" s="2">
        <v>-100</v>
      </c>
      <c r="N62" s="2">
        <v>1</v>
      </c>
      <c r="O62" s="2">
        <v>2</v>
      </c>
      <c r="P62" s="2">
        <v>0</v>
      </c>
      <c r="Q62" s="2"/>
      <c r="R62" s="2">
        <v>1</v>
      </c>
      <c r="S62" s="2">
        <v>0</v>
      </c>
      <c r="T62" s="2">
        <v>1</v>
      </c>
      <c r="U62" s="2">
        <v>1</v>
      </c>
      <c r="W62" s="2">
        <v>2</v>
      </c>
      <c r="X62" s="2">
        <v>0</v>
      </c>
      <c r="Y62" s="2" t="s">
        <v>133</v>
      </c>
      <c r="Z62" s="2">
        <v>0</v>
      </c>
      <c r="AA62" s="2" t="s">
        <v>134</v>
      </c>
      <c r="AD62" s="3" t="s">
        <v>135</v>
      </c>
    </row>
    <row r="63" ht="15.75" hidden="1" customHeight="1">
      <c r="A63" s="14">
        <v>62</v>
      </c>
      <c r="B63" s="14"/>
      <c r="C63" s="14">
        <v>1</v>
      </c>
      <c r="D63" s="14"/>
      <c r="E63" s="15">
        <v>45419</v>
      </c>
      <c r="F63" s="16">
        <v>45305</v>
      </c>
      <c r="G63" s="16">
        <v>45852</v>
      </c>
      <c r="H63" s="17">
        <f>3+23/30</f>
        <v>3.7666666666666666</v>
      </c>
      <c r="I63" s="17">
        <v>3</v>
      </c>
      <c r="J63" s="17" t="s">
        <v>31</v>
      </c>
      <c r="K63" s="17"/>
      <c r="L63" s="17"/>
      <c r="M63" s="17">
        <v>-100</v>
      </c>
      <c r="N63" s="17">
        <v>1</v>
      </c>
      <c r="O63" s="17">
        <v>2</v>
      </c>
      <c r="P63" s="17">
        <v>0</v>
      </c>
      <c r="Q63" s="17"/>
      <c r="R63" s="17"/>
      <c r="S63" s="17">
        <v>0</v>
      </c>
      <c r="T63" s="17">
        <v>0</v>
      </c>
      <c r="U63" s="17">
        <v>1</v>
      </c>
      <c r="V63" s="17"/>
      <c r="W63" s="17">
        <v>1</v>
      </c>
      <c r="X63" s="17">
        <v>0</v>
      </c>
      <c r="Y63" s="17" t="s">
        <v>136</v>
      </c>
      <c r="Z63" s="17">
        <v>0</v>
      </c>
      <c r="AA63" s="17" t="s">
        <v>137</v>
      </c>
      <c r="AB63" s="17"/>
      <c r="AC63" s="17"/>
      <c r="AD63" s="18"/>
      <c r="AE63" s="17"/>
      <c r="AF63" s="17"/>
      <c r="AG63" s="17"/>
      <c r="AH63" s="13"/>
      <c r="AI63" s="13"/>
      <c r="AJ63" s="13"/>
      <c r="AK63" s="13"/>
    </row>
    <row r="64" s="48" customFormat="1" ht="15.75" hidden="1" customHeight="1">
      <c r="A64" s="49">
        <v>63</v>
      </c>
      <c r="B64" s="55">
        <v>1</v>
      </c>
      <c r="C64" s="49"/>
      <c r="D64" s="49"/>
      <c r="E64" s="77">
        <v>45419</v>
      </c>
      <c r="F64" s="78">
        <v>45233</v>
      </c>
      <c r="G64" s="78">
        <v>45780</v>
      </c>
      <c r="H64" s="52">
        <f>6+4/30</f>
        <v>6.1333333333333337</v>
      </c>
      <c r="I64" s="52">
        <v>6</v>
      </c>
      <c r="J64" s="52" t="s">
        <v>28</v>
      </c>
      <c r="K64" s="52" t="s">
        <v>138</v>
      </c>
      <c r="L64" s="52">
        <v>248</v>
      </c>
      <c r="M64" s="52">
        <v>-100</v>
      </c>
      <c r="N64" s="52">
        <v>1</v>
      </c>
      <c r="O64" s="52">
        <v>2</v>
      </c>
      <c r="P64" s="52">
        <v>0</v>
      </c>
      <c r="Q64" s="52"/>
      <c r="R64" s="52">
        <v>0</v>
      </c>
      <c r="S64" s="52">
        <v>0</v>
      </c>
      <c r="T64" s="52">
        <v>1</v>
      </c>
      <c r="U64" s="52">
        <v>1</v>
      </c>
      <c r="V64" s="52">
        <v>1</v>
      </c>
      <c r="W64" s="52">
        <v>3</v>
      </c>
      <c r="X64" s="52">
        <v>0</v>
      </c>
      <c r="Y64" s="52" t="s">
        <v>139</v>
      </c>
      <c r="Z64" s="52">
        <v>0</v>
      </c>
      <c r="AA64" s="48" t="s">
        <v>140</v>
      </c>
      <c r="AB64" s="48"/>
      <c r="AC64" s="48"/>
      <c r="AD64" s="48" t="s">
        <v>117</v>
      </c>
      <c r="AE64" s="48"/>
      <c r="AF64" s="48"/>
      <c r="AG64" s="48"/>
    </row>
    <row r="65" s="48" customFormat="1" ht="15.75" hidden="1" customHeight="1">
      <c r="A65" s="49">
        <v>64</v>
      </c>
      <c r="B65" s="55">
        <v>1</v>
      </c>
      <c r="C65" s="49"/>
      <c r="D65" s="55"/>
      <c r="E65" s="77">
        <v>45425</v>
      </c>
      <c r="F65" s="78">
        <v>45237</v>
      </c>
      <c r="G65" s="78">
        <v>45784</v>
      </c>
      <c r="H65" s="52">
        <f>6+6/30</f>
        <v>6.2000000000000002</v>
      </c>
      <c r="I65" s="52">
        <v>6</v>
      </c>
      <c r="J65" s="52" t="s">
        <v>31</v>
      </c>
      <c r="K65" s="52" t="s">
        <v>141</v>
      </c>
      <c r="L65" s="52">
        <v>158</v>
      </c>
      <c r="M65" s="52">
        <v>100</v>
      </c>
      <c r="N65" s="52">
        <v>1</v>
      </c>
      <c r="O65" s="52">
        <v>2</v>
      </c>
      <c r="P65" s="52">
        <v>0</v>
      </c>
      <c r="Q65" s="52"/>
      <c r="R65" s="52">
        <v>1</v>
      </c>
      <c r="S65" s="52">
        <v>0</v>
      </c>
      <c r="T65" s="52">
        <v>1</v>
      </c>
      <c r="U65" s="52">
        <v>0</v>
      </c>
      <c r="V65" s="52">
        <v>0</v>
      </c>
      <c r="W65" s="52">
        <v>2</v>
      </c>
      <c r="X65" s="52">
        <v>0</v>
      </c>
      <c r="Y65" s="52" t="s">
        <v>142</v>
      </c>
      <c r="Z65" s="52">
        <v>0</v>
      </c>
      <c r="AA65" s="48" t="s">
        <v>143</v>
      </c>
      <c r="AB65" s="48"/>
      <c r="AC65" s="48"/>
      <c r="AD65" s="79" t="s">
        <v>117</v>
      </c>
      <c r="AE65" s="48"/>
      <c r="AF65" s="48"/>
      <c r="AG65" s="48"/>
    </row>
    <row r="66" ht="15.75" hidden="1" customHeight="1">
      <c r="A66" s="7">
        <v>65</v>
      </c>
      <c r="B66" s="7">
        <v>1</v>
      </c>
      <c r="C66" s="7"/>
      <c r="D66" s="7"/>
      <c r="E66" s="8">
        <v>45425</v>
      </c>
      <c r="F66" s="9">
        <v>45279</v>
      </c>
      <c r="G66" s="9">
        <v>45827</v>
      </c>
      <c r="H66" s="10">
        <f>4+24/30</f>
        <v>4.7999999999999998</v>
      </c>
      <c r="I66" s="10">
        <v>6</v>
      </c>
      <c r="J66" s="10" t="s">
        <v>28</v>
      </c>
      <c r="K66" s="10"/>
      <c r="L66" s="10"/>
      <c r="M66" s="10">
        <v>-100</v>
      </c>
      <c r="N66" s="10">
        <v>1</v>
      </c>
      <c r="O66" s="10">
        <v>2</v>
      </c>
      <c r="P66" s="10">
        <v>0</v>
      </c>
      <c r="Q66" s="10"/>
      <c r="R66" s="10"/>
      <c r="S66" s="10">
        <v>1</v>
      </c>
      <c r="T66" s="10">
        <v>1</v>
      </c>
      <c r="U66" s="10">
        <v>0</v>
      </c>
      <c r="V66" s="10"/>
      <c r="W66" s="10">
        <v>2</v>
      </c>
      <c r="X66" s="10">
        <v>0</v>
      </c>
      <c r="Y66" s="10" t="s">
        <v>144</v>
      </c>
      <c r="Z66" s="10">
        <v>0</v>
      </c>
      <c r="AA66" s="6" t="s">
        <v>145</v>
      </c>
      <c r="AB66" s="10"/>
      <c r="AC66" s="10"/>
      <c r="AD66" s="11"/>
      <c r="AE66" s="10"/>
      <c r="AF66" s="10"/>
      <c r="AG66" s="10"/>
      <c r="AH66" s="6"/>
      <c r="AI66" s="6"/>
      <c r="AJ66" s="6"/>
      <c r="AK66" s="6"/>
    </row>
    <row r="67" ht="15.75" customHeight="1">
      <c r="A67" s="1">
        <v>66</v>
      </c>
      <c r="B67" s="1"/>
      <c r="C67" s="1"/>
      <c r="D67" s="1">
        <v>1</v>
      </c>
      <c r="E67" s="4">
        <v>45426</v>
      </c>
      <c r="F67" s="5">
        <v>45312</v>
      </c>
      <c r="G67" s="5">
        <v>45859</v>
      </c>
      <c r="H67" s="2">
        <f>3+22/30</f>
        <v>3.7333333333333334</v>
      </c>
      <c r="I67" s="2">
        <v>3</v>
      </c>
      <c r="J67" s="2" t="s">
        <v>28</v>
      </c>
      <c r="K67" s="2" t="s">
        <v>62</v>
      </c>
      <c r="L67" s="2">
        <v>135</v>
      </c>
      <c r="M67" s="2">
        <v>100</v>
      </c>
      <c r="N67" s="2">
        <v>1</v>
      </c>
      <c r="O67" s="2">
        <v>2</v>
      </c>
      <c r="P67" s="2">
        <v>0</v>
      </c>
      <c r="Q67" s="2"/>
      <c r="R67" s="2">
        <v>0</v>
      </c>
      <c r="S67" s="2">
        <v>1</v>
      </c>
      <c r="T67" s="2">
        <v>1</v>
      </c>
      <c r="U67" s="2">
        <v>1</v>
      </c>
      <c r="W67" s="2">
        <v>2</v>
      </c>
      <c r="X67" s="2">
        <v>0</v>
      </c>
      <c r="Y67" s="2" t="s">
        <v>146</v>
      </c>
      <c r="Z67" s="2">
        <v>0</v>
      </c>
      <c r="AA67" t="s">
        <v>147</v>
      </c>
      <c r="AD67" s="74" t="s">
        <v>148</v>
      </c>
    </row>
    <row r="68" s="13" customFormat="1" ht="15.75" hidden="1" customHeight="1">
      <c r="A68" s="14">
        <v>67</v>
      </c>
      <c r="B68" s="14"/>
      <c r="C68" s="14">
        <v>1</v>
      </c>
      <c r="D68" s="14"/>
      <c r="E68" s="15">
        <v>45427</v>
      </c>
      <c r="F68" s="80">
        <v>45308</v>
      </c>
      <c r="G68" s="16"/>
      <c r="H68" s="17"/>
      <c r="I68" s="17">
        <v>3</v>
      </c>
      <c r="J68" s="17" t="s">
        <v>28</v>
      </c>
      <c r="K68" s="17"/>
      <c r="L68" s="17"/>
      <c r="M68" s="17">
        <v>100</v>
      </c>
      <c r="N68" s="17">
        <v>1</v>
      </c>
      <c r="O68" s="17">
        <v>1</v>
      </c>
      <c r="P68" s="17">
        <v>0</v>
      </c>
      <c r="Q68" s="17"/>
      <c r="R68" s="17"/>
      <c r="S68" s="17"/>
      <c r="T68" s="17"/>
      <c r="U68" s="17"/>
      <c r="V68" s="17"/>
      <c r="W68" s="17"/>
      <c r="X68" s="17"/>
      <c r="Y68" s="17"/>
      <c r="Z68" s="17">
        <v>0</v>
      </c>
      <c r="AA68" s="13" t="s">
        <v>149</v>
      </c>
      <c r="AB68" s="17"/>
      <c r="AC68" s="17"/>
      <c r="AD68" s="18"/>
      <c r="AE68" s="17"/>
      <c r="AF68" s="17"/>
      <c r="AG68" s="17"/>
      <c r="AH68" s="13"/>
      <c r="AI68" s="13"/>
      <c r="AJ68" s="13"/>
      <c r="AK68" s="13"/>
    </row>
    <row r="69" ht="15.75" customHeight="1">
      <c r="A69" s="1">
        <v>68</v>
      </c>
      <c r="B69" s="1"/>
      <c r="C69" s="1"/>
      <c r="D69" s="1">
        <v>1</v>
      </c>
      <c r="E69" s="4">
        <v>45427</v>
      </c>
      <c r="F69" s="5">
        <v>45242</v>
      </c>
      <c r="G69" s="5">
        <v>45789</v>
      </c>
      <c r="H69" s="2">
        <f>6+3/30</f>
        <v>6.0999999999999996</v>
      </c>
      <c r="I69" s="2">
        <v>6</v>
      </c>
      <c r="J69" s="2" t="s">
        <v>28</v>
      </c>
      <c r="K69" s="2" t="s">
        <v>150</v>
      </c>
      <c r="L69" s="2">
        <v>110</v>
      </c>
      <c r="M69" s="2">
        <v>-100</v>
      </c>
      <c r="N69" s="2">
        <v>1</v>
      </c>
      <c r="O69" s="2">
        <v>1</v>
      </c>
      <c r="P69" s="2">
        <v>0</v>
      </c>
      <c r="Q69" s="2"/>
      <c r="R69" s="2">
        <v>0</v>
      </c>
      <c r="S69" s="2">
        <v>0</v>
      </c>
      <c r="T69" s="2">
        <v>1</v>
      </c>
      <c r="U69" s="2">
        <v>1</v>
      </c>
      <c r="V69" s="2">
        <v>0</v>
      </c>
      <c r="W69" s="2">
        <v>3</v>
      </c>
      <c r="X69" s="2">
        <v>0</v>
      </c>
      <c r="Y69" s="2" t="s">
        <v>151</v>
      </c>
      <c r="Z69" s="2">
        <v>0</v>
      </c>
      <c r="AA69" t="s">
        <v>152</v>
      </c>
    </row>
    <row r="70" ht="15.75" customHeight="1">
      <c r="A70" s="1">
        <v>69</v>
      </c>
      <c r="B70" s="1"/>
      <c r="C70" s="1"/>
      <c r="D70" s="1">
        <v>1</v>
      </c>
      <c r="E70" s="4">
        <v>45428</v>
      </c>
      <c r="F70" s="5">
        <v>45242</v>
      </c>
      <c r="G70" s="5">
        <v>45789</v>
      </c>
      <c r="H70" s="2">
        <f>6+4/30</f>
        <v>6.1333333333333337</v>
      </c>
      <c r="I70" s="2">
        <v>6</v>
      </c>
      <c r="J70" s="2" t="s">
        <v>28</v>
      </c>
      <c r="K70" s="2" t="s">
        <v>153</v>
      </c>
      <c r="L70" s="2">
        <v>270</v>
      </c>
      <c r="M70" s="2">
        <v>-100</v>
      </c>
      <c r="N70" s="2">
        <v>2</v>
      </c>
      <c r="O70" s="2">
        <v>1</v>
      </c>
      <c r="P70" s="2">
        <v>0</v>
      </c>
      <c r="Q70" s="2"/>
      <c r="R70" s="2">
        <v>0</v>
      </c>
      <c r="S70" s="2">
        <v>0</v>
      </c>
      <c r="T70" s="2">
        <v>1</v>
      </c>
      <c r="U70" s="2">
        <v>2</v>
      </c>
      <c r="V70" s="2">
        <v>0</v>
      </c>
      <c r="W70" s="2">
        <v>2</v>
      </c>
      <c r="X70" s="2">
        <v>0</v>
      </c>
      <c r="Y70" s="2" t="s">
        <v>154</v>
      </c>
      <c r="Z70" s="2">
        <v>0</v>
      </c>
      <c r="AA70" t="s">
        <v>155</v>
      </c>
    </row>
    <row r="71" ht="15.75" customHeight="1">
      <c r="A71" s="1">
        <v>70</v>
      </c>
      <c r="B71" s="1"/>
      <c r="C71" s="1"/>
      <c r="D71" s="1">
        <v>1</v>
      </c>
      <c r="E71" s="4">
        <v>45428</v>
      </c>
      <c r="F71" s="5">
        <v>45236</v>
      </c>
      <c r="G71" s="5">
        <v>45783</v>
      </c>
      <c r="H71" s="2">
        <f>6+10/30</f>
        <v>6.333333333333333</v>
      </c>
      <c r="I71" s="2">
        <v>6</v>
      </c>
      <c r="J71" s="2" t="s">
        <v>31</v>
      </c>
      <c r="K71" s="2" t="s">
        <v>156</v>
      </c>
      <c r="L71" s="2">
        <v>404</v>
      </c>
      <c r="M71" s="2">
        <v>100</v>
      </c>
      <c r="N71" s="2">
        <v>1</v>
      </c>
      <c r="O71" s="2">
        <v>1</v>
      </c>
      <c r="P71" s="2">
        <v>0</v>
      </c>
      <c r="Q71" s="2"/>
      <c r="R71" s="2">
        <v>0</v>
      </c>
      <c r="S71" s="2">
        <v>0</v>
      </c>
      <c r="T71" s="2">
        <v>1</v>
      </c>
      <c r="U71" s="2">
        <v>2</v>
      </c>
      <c r="V71" s="2">
        <v>0</v>
      </c>
      <c r="W71" s="2">
        <v>2</v>
      </c>
      <c r="X71" s="2">
        <v>0</v>
      </c>
      <c r="Y71" s="2" t="s">
        <v>157</v>
      </c>
      <c r="Z71" s="2">
        <v>0</v>
      </c>
      <c r="AA71" t="s">
        <v>158</v>
      </c>
      <c r="AD71" s="3" t="s">
        <v>159</v>
      </c>
    </row>
    <row r="72" ht="15.75" customHeight="1">
      <c r="A72" s="1">
        <v>71</v>
      </c>
      <c r="B72" s="1"/>
      <c r="C72" s="1"/>
      <c r="D72" s="1">
        <v>1</v>
      </c>
      <c r="E72" s="4">
        <v>45429</v>
      </c>
      <c r="F72" s="5">
        <v>45314</v>
      </c>
      <c r="G72" s="5">
        <v>45861</v>
      </c>
      <c r="H72" s="2">
        <f>3+25/30</f>
        <v>3.8333333333333335</v>
      </c>
      <c r="I72" s="2">
        <v>3</v>
      </c>
      <c r="J72" s="2" t="s">
        <v>31</v>
      </c>
      <c r="K72" s="2" t="s">
        <v>160</v>
      </c>
      <c r="L72" s="2">
        <v>70</v>
      </c>
      <c r="M72" s="2">
        <v>100</v>
      </c>
      <c r="N72" s="2">
        <v>2</v>
      </c>
      <c r="O72" s="2">
        <v>1</v>
      </c>
      <c r="P72" s="2">
        <v>0</v>
      </c>
      <c r="Q72" s="2"/>
      <c r="R72" s="2">
        <v>0</v>
      </c>
      <c r="S72" s="2">
        <v>1</v>
      </c>
      <c r="T72" s="2">
        <v>1</v>
      </c>
      <c r="U72" s="2">
        <v>1</v>
      </c>
      <c r="W72" s="2">
        <v>2</v>
      </c>
      <c r="X72" s="2">
        <v>0</v>
      </c>
      <c r="Y72" s="2" t="s">
        <v>161</v>
      </c>
      <c r="Z72" s="2">
        <v>0</v>
      </c>
      <c r="AA72" t="s">
        <v>162</v>
      </c>
    </row>
    <row r="73" ht="15.75" customHeight="1">
      <c r="A73" s="1">
        <v>72</v>
      </c>
      <c r="B73" s="1"/>
      <c r="C73" s="1"/>
      <c r="D73" s="1">
        <v>1</v>
      </c>
      <c r="E73" s="4">
        <v>45434</v>
      </c>
      <c r="F73" s="5">
        <v>45238</v>
      </c>
      <c r="G73" s="5">
        <v>45785</v>
      </c>
      <c r="H73" s="2">
        <f>6+15/30</f>
        <v>6.5</v>
      </c>
      <c r="I73" s="2">
        <v>6</v>
      </c>
      <c r="J73" s="2" t="s">
        <v>31</v>
      </c>
      <c r="K73" s="2" t="s">
        <v>163</v>
      </c>
      <c r="L73" s="2">
        <v>239</v>
      </c>
      <c r="M73" s="2">
        <v>-100</v>
      </c>
      <c r="N73" s="2">
        <v>2</v>
      </c>
      <c r="O73" s="2">
        <v>2</v>
      </c>
      <c r="P73" s="2">
        <v>0</v>
      </c>
      <c r="Q73" s="2"/>
      <c r="R73" s="2">
        <v>0</v>
      </c>
      <c r="S73" s="2">
        <v>1</v>
      </c>
      <c r="T73" s="2">
        <v>1</v>
      </c>
      <c r="U73" s="2">
        <v>2</v>
      </c>
      <c r="V73" s="2">
        <v>0</v>
      </c>
      <c r="W73" s="2">
        <v>2</v>
      </c>
      <c r="X73" s="2">
        <v>0</v>
      </c>
      <c r="Y73" s="2" t="s">
        <v>164</v>
      </c>
      <c r="Z73" s="2">
        <v>0</v>
      </c>
      <c r="AA73" t="s">
        <v>165</v>
      </c>
    </row>
    <row r="74" s="6" customFormat="1" ht="15.75" hidden="1" customHeight="1">
      <c r="A74" s="7">
        <v>73</v>
      </c>
      <c r="B74" s="81">
        <v>1</v>
      </c>
      <c r="C74" s="7"/>
      <c r="D74" s="7"/>
      <c r="E74" s="8">
        <v>45434</v>
      </c>
      <c r="F74" s="9">
        <v>45237</v>
      </c>
      <c r="G74" s="9">
        <v>45784</v>
      </c>
      <c r="H74" s="10">
        <f>6+16/30</f>
        <v>6.5333333333333332</v>
      </c>
      <c r="I74" s="10">
        <v>6</v>
      </c>
      <c r="J74" s="10" t="s">
        <v>31</v>
      </c>
      <c r="K74" s="10" t="s">
        <v>166</v>
      </c>
      <c r="L74" s="10">
        <v>60</v>
      </c>
      <c r="M74" s="10">
        <v>100</v>
      </c>
      <c r="N74" s="10">
        <v>1</v>
      </c>
      <c r="O74" s="10">
        <v>1</v>
      </c>
      <c r="P74" s="10">
        <v>0</v>
      </c>
      <c r="Q74" s="10"/>
      <c r="R74" s="10">
        <v>1</v>
      </c>
      <c r="S74" s="10">
        <v>0</v>
      </c>
      <c r="T74" s="10">
        <v>1</v>
      </c>
      <c r="U74" s="10">
        <v>2</v>
      </c>
      <c r="V74" s="10">
        <v>0</v>
      </c>
      <c r="W74" s="10">
        <v>1</v>
      </c>
      <c r="X74" s="10">
        <v>0</v>
      </c>
      <c r="Y74" s="10" t="s">
        <v>167</v>
      </c>
      <c r="Z74" s="10">
        <v>0</v>
      </c>
      <c r="AA74" s="6" t="s">
        <v>168</v>
      </c>
      <c r="AB74" s="6"/>
      <c r="AC74" s="6"/>
      <c r="AD74" s="6" t="s">
        <v>169</v>
      </c>
      <c r="AE74" s="6"/>
      <c r="AF74" s="6"/>
      <c r="AG74" s="6"/>
    </row>
    <row r="75" ht="15.75" customHeight="1">
      <c r="A75" s="1">
        <v>74</v>
      </c>
      <c r="B75" s="1"/>
      <c r="C75" s="1"/>
      <c r="D75" s="1">
        <v>1</v>
      </c>
      <c r="E75" s="4">
        <v>45440</v>
      </c>
      <c r="F75" s="5">
        <v>45248</v>
      </c>
      <c r="G75" s="5">
        <v>45795</v>
      </c>
      <c r="H75" s="2">
        <f>6+10/30</f>
        <v>6.333333333333333</v>
      </c>
      <c r="I75" s="2">
        <v>6</v>
      </c>
      <c r="J75" s="2" t="s">
        <v>28</v>
      </c>
      <c r="K75" s="2" t="s">
        <v>78</v>
      </c>
      <c r="L75" s="2">
        <v>113</v>
      </c>
      <c r="M75" s="2">
        <v>100</v>
      </c>
      <c r="N75" s="2">
        <v>2</v>
      </c>
      <c r="O75" s="2">
        <v>1</v>
      </c>
      <c r="P75" s="2">
        <v>0</v>
      </c>
      <c r="Q75" s="2"/>
      <c r="S75" s="2">
        <v>0</v>
      </c>
      <c r="T75" s="2">
        <v>1</v>
      </c>
      <c r="U75" s="2">
        <v>1</v>
      </c>
      <c r="V75" s="2">
        <v>1</v>
      </c>
      <c r="W75" s="2">
        <v>2</v>
      </c>
      <c r="X75" s="2">
        <v>0</v>
      </c>
      <c r="Z75" s="2">
        <v>0</v>
      </c>
      <c r="AA75" t="s">
        <v>170</v>
      </c>
      <c r="AD75" s="3" t="s">
        <v>171</v>
      </c>
    </row>
    <row r="76" s="48" customFormat="1" ht="15.75" hidden="1" customHeight="1">
      <c r="A76" s="49">
        <v>75</v>
      </c>
      <c r="B76" s="55">
        <v>1</v>
      </c>
      <c r="C76" s="49"/>
      <c r="D76" s="49"/>
      <c r="E76" s="77">
        <v>45440</v>
      </c>
      <c r="F76" s="78">
        <v>45257</v>
      </c>
      <c r="G76" s="78">
        <v>45804</v>
      </c>
      <c r="H76" s="52">
        <f>6+1/30</f>
        <v>6.0333333333333332</v>
      </c>
      <c r="I76" s="52">
        <v>6</v>
      </c>
      <c r="J76" s="52" t="s">
        <v>31</v>
      </c>
      <c r="K76" s="52" t="s">
        <v>172</v>
      </c>
      <c r="L76" s="52">
        <v>88</v>
      </c>
      <c r="M76" s="52">
        <v>-100</v>
      </c>
      <c r="N76" s="52">
        <v>2</v>
      </c>
      <c r="O76" s="52">
        <v>1</v>
      </c>
      <c r="P76" s="52">
        <v>0</v>
      </c>
      <c r="Q76" s="52"/>
      <c r="R76" s="52">
        <v>0</v>
      </c>
      <c r="S76" s="52">
        <v>0</v>
      </c>
      <c r="T76" s="52">
        <v>1</v>
      </c>
      <c r="U76" s="52">
        <v>1</v>
      </c>
      <c r="V76" s="52">
        <v>0</v>
      </c>
      <c r="W76" s="52">
        <v>2</v>
      </c>
      <c r="X76" s="52">
        <v>0</v>
      </c>
      <c r="Y76" s="48"/>
      <c r="Z76" s="52">
        <v>0</v>
      </c>
      <c r="AA76" s="48" t="s">
        <v>173</v>
      </c>
      <c r="AB76" s="48"/>
      <c r="AC76" s="48"/>
      <c r="AD76" s="53" t="s">
        <v>174</v>
      </c>
      <c r="AE76" s="48"/>
      <c r="AF76" s="48"/>
      <c r="AG76" s="48"/>
    </row>
    <row r="77" s="13" customFormat="1" ht="15.75" hidden="1" customHeight="1">
      <c r="A77" s="14">
        <v>76</v>
      </c>
      <c r="B77" s="14"/>
      <c r="C77" s="14">
        <v>1</v>
      </c>
      <c r="D77" s="14"/>
      <c r="E77" s="15">
        <v>45440</v>
      </c>
      <c r="F77" s="16">
        <v>45248</v>
      </c>
      <c r="G77" s="16"/>
      <c r="H77" s="17"/>
      <c r="I77" s="17">
        <v>6</v>
      </c>
      <c r="J77" s="17" t="s">
        <v>31</v>
      </c>
      <c r="K77" s="13"/>
      <c r="L77" s="13"/>
      <c r="M77" s="17">
        <v>-100</v>
      </c>
      <c r="N77" s="17">
        <v>2</v>
      </c>
      <c r="O77" s="17">
        <v>1</v>
      </c>
      <c r="P77" s="17">
        <v>0</v>
      </c>
      <c r="Q77" s="17"/>
      <c r="R77" s="17">
        <v>0</v>
      </c>
      <c r="S77" s="17">
        <v>1</v>
      </c>
      <c r="T77" s="17">
        <v>1</v>
      </c>
      <c r="U77" s="17">
        <v>1</v>
      </c>
      <c r="V77" s="17">
        <v>1</v>
      </c>
      <c r="W77" s="17">
        <v>3</v>
      </c>
      <c r="X77" s="17">
        <v>0</v>
      </c>
      <c r="Y77" s="13"/>
      <c r="Z77" s="17">
        <v>0</v>
      </c>
      <c r="AA77" s="13" t="s">
        <v>175</v>
      </c>
      <c r="AB77" s="13"/>
      <c r="AC77" s="13"/>
      <c r="AD77" s="13"/>
      <c r="AE77" s="13"/>
      <c r="AF77" s="13"/>
      <c r="AG77" s="13"/>
    </row>
    <row r="78" ht="15.75" customHeight="1">
      <c r="A78" s="1">
        <v>77</v>
      </c>
      <c r="B78" s="1"/>
      <c r="C78" s="1"/>
      <c r="D78" s="1">
        <v>1</v>
      </c>
      <c r="E78" s="4">
        <v>45441</v>
      </c>
      <c r="F78" s="5">
        <v>45259</v>
      </c>
      <c r="G78" s="5">
        <v>45806</v>
      </c>
      <c r="H78" s="2">
        <f>6+0/30</f>
        <v>6</v>
      </c>
      <c r="I78" s="2">
        <v>6</v>
      </c>
      <c r="J78" s="2" t="s">
        <v>28</v>
      </c>
      <c r="K78" s="2" t="s">
        <v>172</v>
      </c>
      <c r="L78" s="2">
        <v>88</v>
      </c>
      <c r="M78" s="2">
        <v>-100</v>
      </c>
      <c r="N78" s="2">
        <v>2</v>
      </c>
      <c r="O78" s="2">
        <v>1</v>
      </c>
      <c r="P78" s="2">
        <v>0</v>
      </c>
      <c r="Q78" s="2"/>
      <c r="R78" s="2">
        <v>0</v>
      </c>
      <c r="S78" s="2">
        <v>0</v>
      </c>
      <c r="T78" s="2">
        <v>1</v>
      </c>
      <c r="U78" s="2">
        <v>1</v>
      </c>
      <c r="V78" s="2">
        <v>0</v>
      </c>
      <c r="W78" s="2">
        <v>1</v>
      </c>
      <c r="X78" s="2">
        <v>0</v>
      </c>
      <c r="Z78" s="2">
        <v>0</v>
      </c>
      <c r="AA78" t="s">
        <v>176</v>
      </c>
    </row>
    <row r="79" ht="15.75" customHeight="1">
      <c r="A79" s="1">
        <v>78</v>
      </c>
      <c r="B79" s="1"/>
      <c r="C79" s="1"/>
      <c r="D79" s="1">
        <v>1</v>
      </c>
      <c r="E79" s="4">
        <v>45446</v>
      </c>
      <c r="F79" s="5">
        <v>45255</v>
      </c>
      <c r="G79" s="5">
        <v>45802</v>
      </c>
      <c r="H79" s="2">
        <f>6+9/30</f>
        <v>6.2999999999999998</v>
      </c>
      <c r="I79" s="2">
        <v>6</v>
      </c>
      <c r="J79" s="2" t="s">
        <v>31</v>
      </c>
      <c r="K79" s="2" t="s">
        <v>177</v>
      </c>
      <c r="L79" s="2">
        <v>105</v>
      </c>
      <c r="M79" s="2">
        <v>100</v>
      </c>
      <c r="N79" s="2">
        <v>1</v>
      </c>
      <c r="O79" s="2">
        <v>1</v>
      </c>
      <c r="P79" s="2">
        <v>0</v>
      </c>
      <c r="Q79" s="2"/>
      <c r="R79" s="2">
        <v>0</v>
      </c>
      <c r="S79" s="2">
        <v>1</v>
      </c>
      <c r="T79" s="2">
        <v>1</v>
      </c>
      <c r="U79" s="2">
        <v>2</v>
      </c>
      <c r="V79" s="2">
        <v>1</v>
      </c>
      <c r="W79" s="2">
        <v>3</v>
      </c>
      <c r="X79" s="2">
        <v>0</v>
      </c>
      <c r="Z79" s="2">
        <v>0</v>
      </c>
      <c r="AA79" t="s">
        <v>178</v>
      </c>
    </row>
    <row r="80" s="13" customFormat="1" ht="15.75" hidden="1" customHeight="1">
      <c r="A80" s="14">
        <v>79</v>
      </c>
      <c r="B80" s="14"/>
      <c r="C80" s="14">
        <v>1</v>
      </c>
      <c r="D80" s="14"/>
      <c r="E80" s="15">
        <v>45446</v>
      </c>
      <c r="F80" s="16">
        <v>45336</v>
      </c>
      <c r="G80" s="16"/>
      <c r="H80" s="17"/>
      <c r="I80" s="17">
        <v>3</v>
      </c>
      <c r="J80" s="17" t="s">
        <v>28</v>
      </c>
      <c r="K80" s="13"/>
      <c r="L80" s="13"/>
      <c r="M80" s="17">
        <v>-100</v>
      </c>
      <c r="N80" s="17">
        <v>2</v>
      </c>
      <c r="O80" s="17">
        <v>1</v>
      </c>
      <c r="P80" s="17">
        <v>0</v>
      </c>
      <c r="Q80" s="17"/>
      <c r="R80" s="17"/>
      <c r="S80" s="13"/>
      <c r="T80" s="13"/>
      <c r="U80" s="13"/>
      <c r="V80" s="13"/>
      <c r="W80" s="13"/>
      <c r="X80" s="13"/>
      <c r="Y80" s="13"/>
      <c r="Z80" s="17">
        <v>0</v>
      </c>
      <c r="AA80" s="13" t="s">
        <v>179</v>
      </c>
      <c r="AB80" s="13"/>
      <c r="AC80" s="13"/>
      <c r="AD80" s="13"/>
      <c r="AE80" s="13"/>
      <c r="AF80" s="13"/>
      <c r="AG80" s="13"/>
    </row>
    <row r="81" s="13" customFormat="1" ht="15.75" hidden="1" customHeight="1">
      <c r="A81" s="14">
        <v>80</v>
      </c>
      <c r="B81" s="14"/>
      <c r="C81" s="14">
        <v>1</v>
      </c>
      <c r="D81" s="13"/>
      <c r="E81" s="26">
        <v>45448</v>
      </c>
      <c r="F81" s="16">
        <v>45340</v>
      </c>
      <c r="G81" s="13"/>
      <c r="H81" s="13"/>
      <c r="I81" s="17">
        <v>3</v>
      </c>
      <c r="J81" s="17" t="s">
        <v>28</v>
      </c>
      <c r="K81" s="13"/>
      <c r="L81" s="13"/>
      <c r="M81" s="17">
        <v>-100</v>
      </c>
      <c r="N81" s="17">
        <v>2</v>
      </c>
      <c r="O81" s="17">
        <v>1</v>
      </c>
      <c r="P81" s="13">
        <v>0</v>
      </c>
      <c r="Q81" s="13"/>
      <c r="R81" s="13"/>
      <c r="S81" s="13"/>
      <c r="T81" s="13"/>
      <c r="U81" s="13"/>
      <c r="V81" s="13"/>
      <c r="W81" s="13"/>
      <c r="X81" s="13"/>
      <c r="Y81" s="13"/>
      <c r="Z81" s="17">
        <v>0</v>
      </c>
      <c r="AA81" s="13" t="s">
        <v>180</v>
      </c>
      <c r="AB81" s="13"/>
      <c r="AC81" s="13"/>
      <c r="AD81" s="13"/>
      <c r="AE81" s="13"/>
      <c r="AF81" s="13"/>
      <c r="AG81" s="13"/>
    </row>
    <row r="82" ht="15.75" customHeight="1">
      <c r="A82" s="1">
        <v>81</v>
      </c>
      <c r="B82" s="1"/>
      <c r="C82" s="1"/>
      <c r="D82" s="1">
        <v>1</v>
      </c>
      <c r="E82" s="27">
        <v>45448</v>
      </c>
      <c r="F82" s="5">
        <v>45260</v>
      </c>
      <c r="G82" s="28">
        <v>45807</v>
      </c>
      <c r="H82" s="2">
        <f>6+6/30</f>
        <v>6.2000000000000002</v>
      </c>
      <c r="I82" s="2">
        <v>6</v>
      </c>
      <c r="J82" s="2" t="s">
        <v>28</v>
      </c>
      <c r="K82" s="2" t="s">
        <v>181</v>
      </c>
      <c r="L82" s="2">
        <v>55</v>
      </c>
      <c r="M82" s="2">
        <v>100</v>
      </c>
      <c r="N82" s="2">
        <v>1</v>
      </c>
      <c r="O82" s="2">
        <v>1</v>
      </c>
      <c r="P82" s="2">
        <v>0</v>
      </c>
      <c r="Q82" s="2"/>
      <c r="R82" s="2">
        <v>0</v>
      </c>
      <c r="S82" s="2">
        <v>0</v>
      </c>
      <c r="T82" s="2">
        <v>1</v>
      </c>
      <c r="U82" s="2">
        <v>1</v>
      </c>
      <c r="V82" s="2">
        <v>1</v>
      </c>
      <c r="W82" s="2">
        <v>2</v>
      </c>
      <c r="X82" s="2">
        <v>0</v>
      </c>
      <c r="Y82" s="2" t="s">
        <v>182</v>
      </c>
      <c r="Z82" s="2">
        <v>0</v>
      </c>
      <c r="AA82" t="s">
        <v>183</v>
      </c>
    </row>
    <row r="83" s="13" customFormat="1" ht="15.75" hidden="1" customHeight="1">
      <c r="A83" s="14">
        <v>82</v>
      </c>
      <c r="B83" s="14"/>
      <c r="C83" s="14">
        <v>1</v>
      </c>
      <c r="D83" s="14"/>
      <c r="E83" s="15">
        <v>45450</v>
      </c>
      <c r="F83" s="16"/>
      <c r="G83" s="16"/>
      <c r="H83" s="17"/>
      <c r="I83" s="17">
        <v>3</v>
      </c>
      <c r="J83" s="17" t="s">
        <v>28</v>
      </c>
      <c r="K83" s="13"/>
      <c r="L83" s="13"/>
      <c r="M83" s="17">
        <v>-100</v>
      </c>
      <c r="N83" s="17">
        <v>1</v>
      </c>
      <c r="O83" s="17">
        <v>1</v>
      </c>
      <c r="P83" s="17">
        <v>0</v>
      </c>
      <c r="Q83" s="17"/>
      <c r="R83" s="13"/>
      <c r="S83" s="13"/>
      <c r="T83" s="13"/>
      <c r="U83" s="13"/>
      <c r="V83" s="13"/>
      <c r="W83" s="13"/>
      <c r="X83" s="13"/>
      <c r="Y83" s="13"/>
      <c r="Z83" s="17">
        <v>0</v>
      </c>
      <c r="AA83" s="13" t="s">
        <v>184</v>
      </c>
      <c r="AB83" s="13"/>
      <c r="AC83" s="13"/>
      <c r="AD83" s="13"/>
      <c r="AE83" s="13"/>
      <c r="AF83" s="13"/>
      <c r="AG83" s="13"/>
    </row>
    <row r="84" s="13" customFormat="1" ht="15.75" hidden="1" customHeight="1">
      <c r="A84" s="14">
        <v>83</v>
      </c>
      <c r="B84" s="14"/>
      <c r="C84" s="14">
        <v>1</v>
      </c>
      <c r="D84" s="14"/>
      <c r="E84" s="15">
        <v>45453</v>
      </c>
      <c r="F84" s="16"/>
      <c r="G84" s="16"/>
      <c r="H84" s="17"/>
      <c r="I84" s="17">
        <v>3</v>
      </c>
      <c r="J84" s="17" t="s">
        <v>28</v>
      </c>
      <c r="K84" s="13"/>
      <c r="L84" s="13"/>
      <c r="M84" s="17">
        <v>-100</v>
      </c>
      <c r="N84" s="17">
        <v>1</v>
      </c>
      <c r="O84" s="17">
        <v>1</v>
      </c>
      <c r="P84" s="17">
        <v>0</v>
      </c>
      <c r="Q84" s="17"/>
      <c r="R84" s="13"/>
      <c r="S84" s="13"/>
      <c r="T84" s="13"/>
      <c r="U84" s="13"/>
      <c r="V84" s="13"/>
      <c r="W84" s="13"/>
      <c r="X84" s="13"/>
      <c r="Y84" s="13"/>
      <c r="Z84" s="17">
        <v>0</v>
      </c>
      <c r="AA84" s="13" t="s">
        <v>185</v>
      </c>
      <c r="AB84" s="13"/>
      <c r="AC84" s="13"/>
      <c r="AD84" s="13"/>
      <c r="AE84" s="13"/>
      <c r="AF84" s="13"/>
      <c r="AG84" s="13"/>
    </row>
    <row r="85" ht="15.75" hidden="1" customHeight="1">
      <c r="A85" s="7">
        <v>84</v>
      </c>
      <c r="B85" s="7">
        <v>1</v>
      </c>
      <c r="C85" s="7"/>
      <c r="D85" s="82"/>
      <c r="E85" s="8">
        <v>45467</v>
      </c>
      <c r="F85" s="9">
        <v>45356</v>
      </c>
      <c r="G85" s="9"/>
      <c r="H85" s="10"/>
      <c r="I85" s="10">
        <v>3</v>
      </c>
      <c r="J85" s="10" t="s">
        <v>31</v>
      </c>
      <c r="K85" s="10"/>
      <c r="L85" s="10"/>
      <c r="M85" s="10">
        <v>-100</v>
      </c>
      <c r="N85" s="10">
        <v>1</v>
      </c>
      <c r="O85" s="10">
        <v>1</v>
      </c>
      <c r="P85" s="10">
        <v>0</v>
      </c>
      <c r="Q85" s="10"/>
      <c r="R85" s="10"/>
      <c r="S85" s="10">
        <v>0</v>
      </c>
      <c r="T85" s="10">
        <v>1</v>
      </c>
      <c r="U85" s="10">
        <v>1</v>
      </c>
      <c r="V85" s="10">
        <v>0</v>
      </c>
      <c r="W85" s="10">
        <v>2</v>
      </c>
      <c r="X85" s="10">
        <v>0</v>
      </c>
      <c r="Y85" s="10" t="s">
        <v>186</v>
      </c>
      <c r="Z85" s="10">
        <v>0</v>
      </c>
      <c r="AA85" s="6" t="s">
        <v>187</v>
      </c>
      <c r="AB85" s="10"/>
      <c r="AC85" s="10"/>
      <c r="AD85" s="11"/>
      <c r="AE85" s="10"/>
      <c r="AF85" s="10"/>
      <c r="AG85" s="10"/>
      <c r="AH85" s="6"/>
      <c r="AI85" s="6"/>
      <c r="AJ85" s="6"/>
      <c r="AK85" s="6"/>
      <c r="AL85" s="6"/>
      <c r="AM85" s="6"/>
      <c r="AN85" s="6"/>
      <c r="AO85" s="6"/>
      <c r="AP85" s="6"/>
      <c r="AQ85" s="6"/>
      <c r="AR85" s="6"/>
      <c r="AS85" s="6"/>
      <c r="AT85" s="6"/>
      <c r="AU85" s="6"/>
      <c r="AV85" s="6"/>
      <c r="AW85" s="6"/>
      <c r="AX85" s="6"/>
      <c r="AY85" s="6"/>
      <c r="AZ85" s="6"/>
      <c r="BA85" s="6"/>
      <c r="BB85" s="6"/>
      <c r="BC85" s="6"/>
      <c r="BD85" s="6"/>
      <c r="BE85" s="6"/>
      <c r="BF85" s="6"/>
      <c r="BG85" s="6"/>
      <c r="BH85" s="6"/>
    </row>
    <row r="86" s="13" customFormat="1" ht="15.75" hidden="1" customHeight="1">
      <c r="A86" s="14">
        <v>85</v>
      </c>
      <c r="B86" s="14"/>
      <c r="C86" s="14">
        <v>1</v>
      </c>
      <c r="D86" s="14"/>
      <c r="E86" s="15">
        <v>45468</v>
      </c>
      <c r="F86" s="16"/>
      <c r="G86" s="16"/>
      <c r="H86" s="17"/>
      <c r="I86" s="17">
        <v>3</v>
      </c>
      <c r="J86" s="17" t="s">
        <v>28</v>
      </c>
      <c r="K86" s="13"/>
      <c r="L86" s="13"/>
      <c r="M86" s="17">
        <v>-100</v>
      </c>
      <c r="N86" s="17">
        <v>1</v>
      </c>
      <c r="O86" s="17">
        <v>1</v>
      </c>
      <c r="P86" s="17">
        <v>0</v>
      </c>
      <c r="Q86" s="17"/>
      <c r="R86" s="13"/>
      <c r="S86" s="13"/>
      <c r="T86" s="13"/>
      <c r="U86" s="13"/>
      <c r="V86" s="13"/>
      <c r="W86" s="13"/>
      <c r="X86" s="13"/>
      <c r="Y86" s="13"/>
      <c r="Z86" s="13"/>
      <c r="AA86" s="13" t="s">
        <v>188</v>
      </c>
      <c r="AB86" s="13"/>
      <c r="AC86" s="13"/>
      <c r="AD86" s="13"/>
      <c r="AE86" s="13"/>
      <c r="AF86" s="13"/>
      <c r="AG86" s="13"/>
    </row>
    <row r="87" ht="15.75" hidden="1" customHeight="1">
      <c r="A87" s="14">
        <v>86</v>
      </c>
      <c r="B87" s="14"/>
      <c r="C87" s="14">
        <v>1</v>
      </c>
      <c r="D87" s="14"/>
      <c r="E87" s="26">
        <v>45474</v>
      </c>
      <c r="F87" s="25">
        <v>45365</v>
      </c>
      <c r="G87" s="17"/>
      <c r="H87" s="17"/>
      <c r="I87" s="17">
        <v>3</v>
      </c>
      <c r="J87" s="17" t="s">
        <v>31</v>
      </c>
      <c r="K87" s="17"/>
      <c r="L87" s="17"/>
      <c r="M87" s="17">
        <v>-100</v>
      </c>
      <c r="N87" s="17">
        <v>1</v>
      </c>
      <c r="O87" s="17">
        <v>1</v>
      </c>
      <c r="P87" s="17">
        <v>0</v>
      </c>
      <c r="Q87" s="17"/>
      <c r="R87" s="17">
        <v>1</v>
      </c>
      <c r="S87" s="17">
        <v>1</v>
      </c>
      <c r="T87" s="17">
        <v>1</v>
      </c>
      <c r="U87" s="17">
        <v>0</v>
      </c>
      <c r="V87" s="17">
        <v>0</v>
      </c>
      <c r="W87" s="17">
        <v>2</v>
      </c>
      <c r="X87" s="17">
        <v>0</v>
      </c>
      <c r="Y87" s="17" t="s">
        <v>189</v>
      </c>
      <c r="Z87" s="17">
        <v>0</v>
      </c>
      <c r="AA87" s="13" t="s">
        <v>190</v>
      </c>
      <c r="AB87" s="17"/>
      <c r="AC87" s="17"/>
      <c r="AD87" s="18"/>
      <c r="AE87" s="17"/>
      <c r="AF87" s="17"/>
      <c r="AG87" s="17"/>
      <c r="AH87" s="13"/>
      <c r="AI87" s="13"/>
      <c r="AJ87" s="13"/>
      <c r="AK87" s="13"/>
      <c r="AL87" s="13"/>
      <c r="AM87" s="13"/>
      <c r="AN87" s="13"/>
    </row>
    <row r="88" ht="15.75" hidden="1" customHeight="1">
      <c r="A88" s="14">
        <v>87</v>
      </c>
      <c r="B88" s="14"/>
      <c r="C88" s="14">
        <v>1</v>
      </c>
      <c r="D88" s="14"/>
      <c r="E88" s="26">
        <v>45476</v>
      </c>
      <c r="F88" s="17"/>
      <c r="G88" s="17"/>
      <c r="H88" s="17"/>
      <c r="I88" s="17">
        <v>3</v>
      </c>
      <c r="J88" s="17" t="s">
        <v>31</v>
      </c>
      <c r="K88" s="17"/>
      <c r="L88" s="17"/>
      <c r="M88" s="17">
        <v>-100</v>
      </c>
      <c r="N88" s="17">
        <v>1</v>
      </c>
      <c r="O88" s="17">
        <v>1</v>
      </c>
      <c r="P88" s="17">
        <v>0</v>
      </c>
      <c r="Q88" s="17"/>
      <c r="R88" s="17"/>
      <c r="S88" s="17"/>
      <c r="T88" s="17"/>
      <c r="U88" s="17"/>
      <c r="V88" s="17"/>
      <c r="W88" s="17"/>
      <c r="X88" s="17"/>
      <c r="Y88" s="17"/>
      <c r="Z88" s="17"/>
      <c r="AA88" s="13" t="s">
        <v>191</v>
      </c>
    </row>
    <row r="89" ht="15.75" customHeight="1">
      <c r="A89" s="1">
        <v>88</v>
      </c>
      <c r="B89" s="1"/>
      <c r="C89" s="1"/>
      <c r="D89" s="1">
        <v>1</v>
      </c>
      <c r="E89" s="27">
        <v>45477</v>
      </c>
      <c r="F89" s="83">
        <v>45295</v>
      </c>
      <c r="G89" s="28">
        <v>45842</v>
      </c>
      <c r="H89" s="2">
        <v>6</v>
      </c>
      <c r="I89" s="2">
        <v>6</v>
      </c>
      <c r="J89" s="2" t="s">
        <v>28</v>
      </c>
      <c r="K89" s="2" t="s">
        <v>192</v>
      </c>
      <c r="L89" s="2">
        <v>103</v>
      </c>
      <c r="M89" s="2">
        <v>100</v>
      </c>
      <c r="N89" s="2">
        <v>1</v>
      </c>
      <c r="O89" s="2">
        <v>2</v>
      </c>
      <c r="P89" s="2">
        <v>1</v>
      </c>
      <c r="Q89" s="2" t="s">
        <v>193</v>
      </c>
      <c r="R89" s="2">
        <v>0</v>
      </c>
      <c r="S89" s="2">
        <v>0</v>
      </c>
      <c r="T89" s="2">
        <v>1</v>
      </c>
      <c r="U89" s="2">
        <v>2</v>
      </c>
      <c r="V89" s="2">
        <v>0</v>
      </c>
      <c r="W89" s="2">
        <v>3</v>
      </c>
      <c r="X89" s="2">
        <v>0</v>
      </c>
      <c r="Y89" s="2" t="s">
        <v>194</v>
      </c>
      <c r="Z89" s="2">
        <v>0</v>
      </c>
      <c r="AA89" t="s">
        <v>195</v>
      </c>
    </row>
    <row r="90" ht="15.75" hidden="1" customHeight="1">
      <c r="A90" s="14">
        <v>89</v>
      </c>
      <c r="B90" s="14"/>
      <c r="C90" s="14">
        <v>1</v>
      </c>
      <c r="D90" s="14"/>
      <c r="E90" s="26">
        <v>45481</v>
      </c>
      <c r="F90" s="17"/>
      <c r="G90" s="17"/>
      <c r="H90" s="17"/>
      <c r="I90" s="17">
        <v>3</v>
      </c>
      <c r="J90" s="17" t="s">
        <v>28</v>
      </c>
      <c r="K90" s="17"/>
      <c r="L90" s="17"/>
      <c r="M90" s="17">
        <v>-100</v>
      </c>
      <c r="N90" s="17">
        <v>1</v>
      </c>
      <c r="O90" s="17">
        <v>1</v>
      </c>
      <c r="P90" s="17">
        <v>0</v>
      </c>
      <c r="Q90" s="17"/>
      <c r="R90" s="17"/>
      <c r="S90" s="17"/>
      <c r="T90" s="17"/>
      <c r="U90" s="17"/>
      <c r="V90" s="17"/>
      <c r="W90" s="17"/>
      <c r="X90" s="17"/>
      <c r="Y90" s="17"/>
      <c r="Z90" s="17"/>
      <c r="AA90" s="13"/>
    </row>
    <row r="91" ht="15.75" customHeight="1">
      <c r="A91" s="1">
        <v>90</v>
      </c>
      <c r="B91" s="1"/>
      <c r="C91" s="1"/>
      <c r="D91" s="1">
        <v>1</v>
      </c>
      <c r="E91" s="27">
        <v>45485</v>
      </c>
      <c r="F91" s="83">
        <v>45301</v>
      </c>
      <c r="G91" s="28">
        <v>45848</v>
      </c>
      <c r="H91" s="2">
        <f>5+28/30</f>
        <v>5.9333333333333336</v>
      </c>
      <c r="I91" s="2">
        <v>6</v>
      </c>
      <c r="J91" s="2" t="s">
        <v>28</v>
      </c>
      <c r="K91" s="2" t="s">
        <v>80</v>
      </c>
      <c r="L91" s="2">
        <v>245</v>
      </c>
      <c r="M91" s="2">
        <v>-100</v>
      </c>
      <c r="N91" s="2">
        <v>2</v>
      </c>
      <c r="O91" s="2">
        <v>2</v>
      </c>
      <c r="P91" s="2">
        <v>1</v>
      </c>
      <c r="Q91" s="2" t="s">
        <v>196</v>
      </c>
      <c r="S91" s="2">
        <v>1</v>
      </c>
      <c r="T91" s="2">
        <v>1</v>
      </c>
      <c r="U91" s="2">
        <v>2</v>
      </c>
      <c r="V91" s="2">
        <v>1</v>
      </c>
      <c r="W91" s="2">
        <v>2</v>
      </c>
      <c r="X91" s="2">
        <v>0</v>
      </c>
      <c r="Y91" s="2" t="s">
        <v>197</v>
      </c>
      <c r="Z91" s="2">
        <v>0</v>
      </c>
      <c r="AA91" t="s">
        <v>198</v>
      </c>
    </row>
    <row r="92" ht="15.75" customHeight="1">
      <c r="A92" s="1">
        <v>91</v>
      </c>
      <c r="B92" s="1"/>
      <c r="C92" s="1"/>
      <c r="D92" s="1">
        <v>1</v>
      </c>
      <c r="E92" s="27">
        <v>45485</v>
      </c>
      <c r="F92" s="83">
        <v>45303</v>
      </c>
      <c r="G92" s="28">
        <v>45850</v>
      </c>
      <c r="H92" s="2">
        <v>6</v>
      </c>
      <c r="I92" s="2">
        <v>6</v>
      </c>
      <c r="J92" s="2" t="s">
        <v>31</v>
      </c>
      <c r="K92" s="2" t="s">
        <v>199</v>
      </c>
      <c r="L92" s="2">
        <v>388</v>
      </c>
      <c r="M92" s="2">
        <v>-100</v>
      </c>
      <c r="N92" s="2">
        <v>2</v>
      </c>
      <c r="O92" s="2">
        <v>2</v>
      </c>
      <c r="P92" s="2" t="s">
        <v>200</v>
      </c>
      <c r="Q92" s="2"/>
      <c r="S92" s="2">
        <v>1</v>
      </c>
      <c r="T92" s="2">
        <v>1</v>
      </c>
      <c r="U92" s="2">
        <v>1</v>
      </c>
      <c r="V92" s="2">
        <v>0</v>
      </c>
      <c r="W92" s="2">
        <v>2</v>
      </c>
      <c r="X92" s="2">
        <v>0</v>
      </c>
      <c r="Y92" s="2" t="s">
        <v>201</v>
      </c>
      <c r="Z92" s="2">
        <v>0</v>
      </c>
      <c r="AA92" t="s">
        <v>202</v>
      </c>
    </row>
    <row r="93" ht="15.75" customHeight="1">
      <c r="A93" s="1">
        <v>92</v>
      </c>
      <c r="B93" s="1"/>
      <c r="C93" s="1"/>
      <c r="D93" s="1">
        <v>1</v>
      </c>
      <c r="E93" s="27">
        <v>45497</v>
      </c>
      <c r="F93" s="83">
        <v>45308</v>
      </c>
      <c r="G93" s="28">
        <v>45794</v>
      </c>
      <c r="H93" s="2">
        <f>5+23/30</f>
        <v>5.7666666666666666</v>
      </c>
      <c r="I93" s="2">
        <v>6</v>
      </c>
      <c r="J93" s="2" t="s">
        <v>28</v>
      </c>
      <c r="K93" s="2" t="s">
        <v>132</v>
      </c>
      <c r="L93" s="2">
        <v>114</v>
      </c>
      <c r="M93" s="2">
        <v>-100</v>
      </c>
      <c r="N93" s="2">
        <v>2</v>
      </c>
      <c r="O93" s="2">
        <v>2</v>
      </c>
      <c r="P93" s="2">
        <v>1</v>
      </c>
      <c r="Q93" s="2" t="s">
        <v>203</v>
      </c>
      <c r="S93" s="2">
        <v>0</v>
      </c>
      <c r="T93" s="2">
        <v>1</v>
      </c>
      <c r="U93" s="2">
        <v>1</v>
      </c>
      <c r="V93" s="2">
        <v>0</v>
      </c>
      <c r="W93" s="2">
        <v>2</v>
      </c>
      <c r="X93" s="2">
        <v>0</v>
      </c>
      <c r="Y93" s="2" t="s">
        <v>204</v>
      </c>
      <c r="Z93" s="2">
        <v>0</v>
      </c>
    </row>
    <row r="94" ht="15.75" hidden="1" customHeight="1">
      <c r="A94" s="14">
        <v>93</v>
      </c>
      <c r="B94" s="14"/>
      <c r="C94" s="14">
        <v>1</v>
      </c>
      <c r="D94" s="14"/>
      <c r="E94" s="26">
        <v>45537</v>
      </c>
      <c r="F94" s="17"/>
      <c r="G94" s="17"/>
      <c r="H94" s="17"/>
      <c r="I94" s="17">
        <v>3</v>
      </c>
      <c r="J94" s="17" t="s">
        <v>31</v>
      </c>
      <c r="K94" s="17"/>
      <c r="L94" s="17">
        <v>474</v>
      </c>
      <c r="M94" s="17">
        <v>-100</v>
      </c>
      <c r="N94" s="17">
        <v>1</v>
      </c>
      <c r="O94" s="17">
        <v>1</v>
      </c>
      <c r="P94" s="17">
        <v>0</v>
      </c>
      <c r="Q94" s="17"/>
      <c r="R94" s="17"/>
      <c r="S94" s="17"/>
      <c r="T94" s="17"/>
      <c r="U94" s="17"/>
      <c r="V94" s="17"/>
      <c r="W94" s="17"/>
      <c r="X94" s="17"/>
      <c r="Y94" s="17"/>
      <c r="Z94" s="17">
        <v>0</v>
      </c>
      <c r="AA94" s="13" t="s">
        <v>205</v>
      </c>
    </row>
    <row r="95" ht="15.75" customHeight="1">
      <c r="A95" s="1">
        <v>94</v>
      </c>
      <c r="B95" s="1"/>
      <c r="C95" s="1"/>
      <c r="D95" s="1">
        <v>1</v>
      </c>
      <c r="E95" s="27">
        <v>45539</v>
      </c>
      <c r="F95" s="28">
        <v>45432</v>
      </c>
      <c r="G95" s="28">
        <v>45981</v>
      </c>
      <c r="H95" s="2">
        <f>3+14/30</f>
        <v>3.4666666666666668</v>
      </c>
      <c r="I95" s="2">
        <v>3</v>
      </c>
      <c r="J95" s="2" t="s">
        <v>31</v>
      </c>
      <c r="K95" s="2" t="s">
        <v>206</v>
      </c>
      <c r="L95" s="2">
        <v>85</v>
      </c>
      <c r="M95" s="2">
        <v>-100</v>
      </c>
      <c r="N95" s="2">
        <v>1</v>
      </c>
      <c r="O95" s="2">
        <v>1</v>
      </c>
      <c r="P95" s="2">
        <v>0</v>
      </c>
      <c r="S95" s="2">
        <v>0</v>
      </c>
      <c r="T95" s="2">
        <v>1</v>
      </c>
      <c r="U95" s="2">
        <v>1</v>
      </c>
      <c r="W95" s="2">
        <v>2</v>
      </c>
      <c r="X95" s="2">
        <v>0</v>
      </c>
      <c r="Y95" s="2" t="s">
        <v>207</v>
      </c>
      <c r="Z95" s="2">
        <v>0</v>
      </c>
      <c r="AA95" t="s">
        <v>208</v>
      </c>
    </row>
    <row r="96" ht="15.75" hidden="1" customHeight="1">
      <c r="A96" s="14">
        <v>95</v>
      </c>
      <c r="B96" s="14"/>
      <c r="C96" s="14">
        <v>1</v>
      </c>
      <c r="D96" s="14"/>
      <c r="E96" s="26">
        <v>45539</v>
      </c>
      <c r="F96" s="17"/>
      <c r="G96" s="17"/>
      <c r="H96" s="17"/>
      <c r="I96" s="17">
        <v>3</v>
      </c>
      <c r="J96" s="17" t="s">
        <v>28</v>
      </c>
      <c r="K96" s="17"/>
      <c r="L96" s="17"/>
      <c r="M96" s="17">
        <v>-100</v>
      </c>
      <c r="N96" s="17">
        <v>1</v>
      </c>
      <c r="O96" s="17">
        <v>1</v>
      </c>
      <c r="P96" s="17"/>
      <c r="Q96" s="17"/>
      <c r="R96" s="17"/>
      <c r="S96" s="17"/>
      <c r="T96" s="17"/>
      <c r="U96" s="17"/>
      <c r="V96" s="17"/>
      <c r="W96" s="17"/>
      <c r="X96" s="17"/>
      <c r="Y96" s="17"/>
      <c r="Z96" s="17"/>
      <c r="AA96" s="13" t="s">
        <v>209</v>
      </c>
    </row>
    <row r="97" ht="15.75" customHeight="1">
      <c r="A97" s="1">
        <v>96</v>
      </c>
      <c r="B97" s="1"/>
      <c r="C97" s="1"/>
      <c r="D97" s="1">
        <v>1</v>
      </c>
      <c r="E97" s="27">
        <v>45544</v>
      </c>
      <c r="F97" s="28">
        <v>45425</v>
      </c>
      <c r="G97" s="28">
        <v>45974</v>
      </c>
      <c r="H97" s="2">
        <f>4-4/30</f>
        <v>3.8666666666666667</v>
      </c>
      <c r="I97" s="2">
        <v>3</v>
      </c>
      <c r="J97" s="2" t="s">
        <v>31</v>
      </c>
      <c r="K97" s="2" t="s">
        <v>210</v>
      </c>
      <c r="L97" s="2">
        <v>220</v>
      </c>
      <c r="M97" s="2">
        <v>-100</v>
      </c>
      <c r="N97" s="2">
        <v>1</v>
      </c>
      <c r="O97" s="2">
        <v>1</v>
      </c>
      <c r="P97" s="2">
        <v>0</v>
      </c>
      <c r="R97" s="2">
        <v>0</v>
      </c>
      <c r="S97" s="2">
        <v>0</v>
      </c>
      <c r="T97" s="2">
        <v>1</v>
      </c>
      <c r="U97" s="2">
        <v>0</v>
      </c>
      <c r="W97" s="2">
        <v>2</v>
      </c>
      <c r="X97" s="2">
        <v>0</v>
      </c>
      <c r="Y97" s="2" t="s">
        <v>211</v>
      </c>
      <c r="Z97" s="2">
        <v>0</v>
      </c>
      <c r="AA97" t="s">
        <v>212</v>
      </c>
    </row>
    <row r="98" s="84" customFormat="1" ht="15.75" hidden="1" customHeight="1">
      <c r="A98" s="85">
        <v>97</v>
      </c>
      <c r="B98" s="85"/>
      <c r="C98" s="85">
        <v>1</v>
      </c>
      <c r="D98" s="85"/>
      <c r="E98" s="86">
        <v>45546</v>
      </c>
      <c r="F98" s="84"/>
      <c r="G98" s="84"/>
      <c r="H98" s="84"/>
      <c r="I98" s="87">
        <v>3</v>
      </c>
      <c r="J98" s="87" t="s">
        <v>28</v>
      </c>
      <c r="K98" s="84"/>
      <c r="L98" s="84"/>
      <c r="M98" s="87">
        <v>100</v>
      </c>
      <c r="N98" s="87">
        <v>1</v>
      </c>
      <c r="O98" s="87">
        <v>1</v>
      </c>
      <c r="P98" s="87">
        <v>0</v>
      </c>
      <c r="Q98" s="84"/>
      <c r="R98" s="84"/>
      <c r="S98" s="84"/>
      <c r="T98" s="84"/>
      <c r="U98" s="84"/>
      <c r="V98" s="84"/>
      <c r="W98" s="84"/>
      <c r="X98" s="84"/>
      <c r="Y98" s="84"/>
      <c r="Z98" s="87">
        <v>0</v>
      </c>
      <c r="AA98" s="84" t="s">
        <v>213</v>
      </c>
      <c r="AB98" s="84"/>
      <c r="AC98" s="84"/>
      <c r="AD98" s="84"/>
      <c r="AE98" s="84"/>
      <c r="AF98" s="84"/>
      <c r="AG98" s="84"/>
    </row>
    <row r="99" s="84" customFormat="1" ht="15.75" hidden="1" customHeight="1">
      <c r="A99" s="85">
        <v>98</v>
      </c>
      <c r="B99" s="85"/>
      <c r="C99" s="85">
        <v>1</v>
      </c>
      <c r="D99" s="85"/>
      <c r="E99" s="86">
        <v>45553</v>
      </c>
      <c r="F99" s="84"/>
      <c r="G99" s="84"/>
      <c r="H99" s="84"/>
      <c r="I99" s="87">
        <v>6</v>
      </c>
      <c r="J99" s="87" t="s">
        <v>28</v>
      </c>
      <c r="K99" s="84"/>
      <c r="L99" s="84"/>
      <c r="M99" s="87">
        <v>0</v>
      </c>
      <c r="N99" s="87">
        <v>2</v>
      </c>
      <c r="O99" s="87">
        <v>1</v>
      </c>
      <c r="P99" s="87">
        <v>1</v>
      </c>
      <c r="Q99" s="87" t="s">
        <v>214</v>
      </c>
      <c r="R99" s="84"/>
      <c r="S99" s="84"/>
      <c r="T99" s="84"/>
      <c r="U99" s="84"/>
      <c r="V99" s="84"/>
      <c r="W99" s="84"/>
      <c r="X99" s="84"/>
      <c r="Y99" s="84"/>
      <c r="Z99" s="84">
        <v>0</v>
      </c>
      <c r="AA99" s="84" t="s">
        <v>215</v>
      </c>
      <c r="AB99" s="84"/>
      <c r="AC99" s="84"/>
      <c r="AD99" s="84"/>
      <c r="AE99" s="84"/>
      <c r="AF99" s="84"/>
      <c r="AG99" s="84"/>
    </row>
    <row r="100" ht="15.75" customHeight="1">
      <c r="A100" s="1">
        <v>99</v>
      </c>
      <c r="B100" s="1"/>
      <c r="C100" s="1"/>
      <c r="D100" s="1">
        <v>1</v>
      </c>
      <c r="E100" s="27">
        <v>45553</v>
      </c>
      <c r="F100" s="28">
        <v>45431</v>
      </c>
      <c r="G100" s="28">
        <v>45980</v>
      </c>
      <c r="H100" s="2">
        <f>3+18/30</f>
        <v>3.6000000000000001</v>
      </c>
      <c r="I100" s="2">
        <v>3</v>
      </c>
      <c r="J100" s="2" t="s">
        <v>31</v>
      </c>
      <c r="K100" s="2" t="s">
        <v>62</v>
      </c>
      <c r="L100" s="2">
        <f>60*2+15</f>
        <v>135</v>
      </c>
      <c r="M100" s="2">
        <v>100</v>
      </c>
      <c r="N100" s="2">
        <v>1</v>
      </c>
      <c r="O100" s="2">
        <v>1</v>
      </c>
      <c r="P100" s="2">
        <v>0</v>
      </c>
      <c r="S100" s="2">
        <v>1</v>
      </c>
      <c r="T100" s="2">
        <v>1</v>
      </c>
      <c r="U100" s="2">
        <v>1</v>
      </c>
      <c r="V100" s="2">
        <v>0</v>
      </c>
      <c r="W100" s="2">
        <v>2</v>
      </c>
      <c r="X100" s="2">
        <v>0</v>
      </c>
      <c r="Y100" s="2" t="s">
        <v>216</v>
      </c>
      <c r="Z100" s="2">
        <v>0</v>
      </c>
      <c r="AA100" t="s">
        <v>217</v>
      </c>
    </row>
    <row r="101" ht="15.75" customHeight="1">
      <c r="A101" s="1">
        <v>100</v>
      </c>
      <c r="B101" s="1"/>
      <c r="C101" s="1"/>
      <c r="D101" s="1">
        <v>1</v>
      </c>
      <c r="E101" s="27">
        <v>45554</v>
      </c>
      <c r="F101" s="28">
        <v>45435</v>
      </c>
      <c r="G101" s="28">
        <v>45984</v>
      </c>
      <c r="H101" s="2">
        <f>3+19/30</f>
        <v>3.6333333333333333</v>
      </c>
      <c r="I101" s="2">
        <v>3</v>
      </c>
      <c r="J101" s="2" t="s">
        <v>28</v>
      </c>
      <c r="K101" s="2" t="s">
        <v>126</v>
      </c>
      <c r="L101" s="2">
        <f>60+55</f>
        <v>115</v>
      </c>
      <c r="M101" s="2">
        <v>-100</v>
      </c>
      <c r="N101" s="2">
        <v>1</v>
      </c>
      <c r="O101" s="2">
        <v>1</v>
      </c>
      <c r="P101" s="2">
        <v>0</v>
      </c>
      <c r="R101" s="2">
        <v>0</v>
      </c>
      <c r="S101" s="2">
        <v>1</v>
      </c>
      <c r="T101" s="2">
        <v>1</v>
      </c>
      <c r="U101" s="2">
        <v>1</v>
      </c>
      <c r="V101" s="2">
        <v>0</v>
      </c>
      <c r="W101" s="2">
        <v>2</v>
      </c>
      <c r="X101" s="2">
        <v>0</v>
      </c>
      <c r="Y101" s="2" t="s">
        <v>218</v>
      </c>
      <c r="Z101" s="2">
        <v>0</v>
      </c>
      <c r="AA101" t="s">
        <v>219</v>
      </c>
    </row>
    <row r="102" s="88" customFormat="1" ht="15.75" customHeight="1">
      <c r="A102" s="89">
        <v>101</v>
      </c>
      <c r="B102" s="89"/>
      <c r="C102" s="89"/>
      <c r="D102" s="89">
        <v>1</v>
      </c>
      <c r="E102" s="90">
        <v>45558</v>
      </c>
      <c r="F102" s="91">
        <v>45365</v>
      </c>
      <c r="G102" s="92">
        <v>45914</v>
      </c>
      <c r="H102" s="93">
        <v>6.2999999999999998</v>
      </c>
      <c r="I102" s="94">
        <v>6</v>
      </c>
      <c r="J102" s="94" t="s">
        <v>31</v>
      </c>
      <c r="K102" s="94" t="s">
        <v>220</v>
      </c>
      <c r="L102" s="88">
        <f>60+15</f>
        <v>75</v>
      </c>
      <c r="M102" s="94">
        <v>0</v>
      </c>
      <c r="N102" s="94">
        <v>1</v>
      </c>
      <c r="O102" s="94">
        <v>1</v>
      </c>
      <c r="P102" s="94">
        <v>1</v>
      </c>
      <c r="Q102" s="88"/>
      <c r="R102" s="88"/>
      <c r="S102" s="94">
        <v>0</v>
      </c>
      <c r="T102" s="94">
        <v>1</v>
      </c>
      <c r="U102" s="94">
        <v>2</v>
      </c>
      <c r="V102" s="94">
        <v>1</v>
      </c>
      <c r="W102" s="94">
        <v>3</v>
      </c>
      <c r="X102" s="94">
        <v>0</v>
      </c>
      <c r="Y102" s="94" t="s">
        <v>221</v>
      </c>
      <c r="Z102" s="94">
        <v>0</v>
      </c>
      <c r="AA102" s="88" t="s">
        <v>222</v>
      </c>
      <c r="AB102" s="88"/>
      <c r="AC102" s="88"/>
      <c r="AD102" s="88"/>
      <c r="AE102" s="88"/>
      <c r="AF102" s="88"/>
      <c r="AG102" s="88"/>
    </row>
    <row r="103" s="6" customFormat="1" ht="15.75" hidden="1" customHeight="1">
      <c r="A103" s="7">
        <v>102</v>
      </c>
      <c r="B103" s="7">
        <v>1</v>
      </c>
      <c r="C103" s="7"/>
      <c r="D103" s="7"/>
      <c r="E103" s="62">
        <v>45560</v>
      </c>
      <c r="F103" s="12">
        <v>45444</v>
      </c>
      <c r="G103" s="12">
        <v>45992</v>
      </c>
      <c r="H103" s="95">
        <v>3.7999999999999998</v>
      </c>
      <c r="I103" s="10">
        <v>3</v>
      </c>
      <c r="J103" s="10" t="s">
        <v>31</v>
      </c>
      <c r="K103" s="10" t="s">
        <v>223</v>
      </c>
      <c r="L103" s="10">
        <f>36</f>
        <v>36</v>
      </c>
      <c r="M103" s="10">
        <v>100</v>
      </c>
      <c r="N103" s="10">
        <v>2</v>
      </c>
      <c r="O103" s="10">
        <v>2</v>
      </c>
      <c r="P103" s="10">
        <v>0</v>
      </c>
      <c r="Q103" s="6"/>
      <c r="R103" s="10" t="s">
        <v>224</v>
      </c>
      <c r="S103" s="10">
        <v>0</v>
      </c>
      <c r="T103" s="10">
        <v>1</v>
      </c>
      <c r="U103" s="10">
        <v>1</v>
      </c>
      <c r="V103" s="6"/>
      <c r="W103" s="10">
        <v>2</v>
      </c>
      <c r="X103" s="10">
        <v>0</v>
      </c>
      <c r="Y103" s="10" t="s">
        <v>225</v>
      </c>
      <c r="Z103" s="10">
        <v>0</v>
      </c>
      <c r="AA103" s="6" t="s">
        <v>226</v>
      </c>
      <c r="AB103" s="6"/>
      <c r="AC103" s="6"/>
      <c r="AD103" s="6"/>
      <c r="AE103" s="6"/>
      <c r="AF103" s="6"/>
      <c r="AG103" s="6"/>
    </row>
    <row r="104" ht="15.75" customHeight="1">
      <c r="A104" s="1">
        <v>103</v>
      </c>
      <c r="B104" s="1"/>
      <c r="C104" s="1"/>
      <c r="D104" s="1">
        <v>1</v>
      </c>
      <c r="E104" s="27">
        <v>45567</v>
      </c>
      <c r="F104" s="28">
        <v>45456</v>
      </c>
      <c r="G104" s="28">
        <v>46004</v>
      </c>
      <c r="H104" s="96">
        <v>3.6666666669999999</v>
      </c>
      <c r="I104" s="2">
        <v>3</v>
      </c>
      <c r="J104" s="2" t="s">
        <v>31</v>
      </c>
      <c r="K104" s="2" t="s">
        <v>227</v>
      </c>
      <c r="L104" s="2">
        <v>96</v>
      </c>
      <c r="M104" s="2">
        <v>100</v>
      </c>
      <c r="N104" s="2">
        <v>1</v>
      </c>
      <c r="O104" s="2">
        <v>2</v>
      </c>
      <c r="P104" s="2">
        <v>0</v>
      </c>
      <c r="S104" s="2">
        <v>0</v>
      </c>
      <c r="T104" s="2">
        <v>1</v>
      </c>
      <c r="U104" s="2">
        <v>0</v>
      </c>
      <c r="W104" s="2">
        <v>2</v>
      </c>
      <c r="X104" s="2">
        <v>0</v>
      </c>
      <c r="Y104" s="2" t="s">
        <v>228</v>
      </c>
      <c r="Z104" s="2">
        <v>0</v>
      </c>
      <c r="AA104" t="s">
        <v>229</v>
      </c>
    </row>
    <row r="105" ht="15.75" customHeight="1">
      <c r="A105" s="1">
        <v>104</v>
      </c>
      <c r="B105" s="1"/>
      <c r="C105" s="1"/>
      <c r="D105" s="1">
        <v>1</v>
      </c>
      <c r="E105" s="27">
        <v>45568</v>
      </c>
      <c r="F105" s="28">
        <v>45446</v>
      </c>
      <c r="G105" s="28">
        <v>45994</v>
      </c>
      <c r="H105" s="97">
        <v>4</v>
      </c>
      <c r="I105" s="2">
        <v>3</v>
      </c>
      <c r="J105" s="2" t="s">
        <v>28</v>
      </c>
      <c r="K105" s="98" t="s">
        <v>66</v>
      </c>
      <c r="L105" s="2">
        <f>60*2+23</f>
        <v>143</v>
      </c>
      <c r="M105" s="2">
        <v>100</v>
      </c>
      <c r="N105" s="2">
        <v>2</v>
      </c>
      <c r="O105" s="2">
        <v>2</v>
      </c>
      <c r="P105" s="2">
        <v>0</v>
      </c>
      <c r="R105" s="2">
        <v>0</v>
      </c>
      <c r="S105" s="2">
        <v>0</v>
      </c>
      <c r="T105" s="2">
        <v>1</v>
      </c>
      <c r="U105" s="2">
        <v>0</v>
      </c>
      <c r="V105" s="2">
        <v>0</v>
      </c>
      <c r="W105" s="2">
        <v>2</v>
      </c>
      <c r="X105" s="2">
        <v>0</v>
      </c>
      <c r="Y105" s="2" t="s">
        <v>230</v>
      </c>
      <c r="Z105" s="2">
        <v>0</v>
      </c>
      <c r="AA105" t="s">
        <v>231</v>
      </c>
    </row>
    <row r="106" s="13" customFormat="1" ht="15.75" hidden="1" customHeight="1">
      <c r="A106" s="14">
        <v>105</v>
      </c>
      <c r="B106" s="14"/>
      <c r="C106" s="14">
        <v>1</v>
      </c>
      <c r="D106" s="14"/>
      <c r="E106" s="26">
        <v>45572</v>
      </c>
      <c r="F106" s="13"/>
      <c r="G106" s="13"/>
      <c r="H106" s="13"/>
      <c r="I106" s="17">
        <v>3</v>
      </c>
      <c r="J106" s="17" t="s">
        <v>28</v>
      </c>
      <c r="K106" s="13"/>
      <c r="L106" s="13"/>
      <c r="M106" s="13"/>
      <c r="N106" s="13"/>
      <c r="O106" s="13"/>
      <c r="P106" s="13"/>
      <c r="Q106" s="13"/>
      <c r="R106" s="13"/>
      <c r="S106" s="13"/>
      <c r="T106" s="13"/>
      <c r="U106" s="13"/>
      <c r="V106" s="13"/>
      <c r="W106" s="13"/>
      <c r="X106" s="13"/>
      <c r="Y106" s="13"/>
      <c r="Z106" s="17">
        <v>0</v>
      </c>
      <c r="AA106" s="13" t="s">
        <v>232</v>
      </c>
      <c r="AB106" s="13"/>
      <c r="AC106" s="13"/>
      <c r="AD106" s="13"/>
      <c r="AE106" s="13"/>
      <c r="AF106" s="13"/>
      <c r="AG106" s="13"/>
    </row>
    <row r="107" s="13" customFormat="1" ht="15.75" hidden="1" customHeight="1">
      <c r="A107" s="14">
        <v>106</v>
      </c>
      <c r="B107" s="14"/>
      <c r="C107" s="14">
        <v>1</v>
      </c>
      <c r="D107" s="14"/>
      <c r="E107" s="26">
        <v>45572</v>
      </c>
      <c r="F107" s="13"/>
      <c r="G107" s="13"/>
      <c r="H107" s="13"/>
      <c r="I107" s="17">
        <v>3</v>
      </c>
      <c r="J107" s="17" t="s">
        <v>31</v>
      </c>
      <c r="K107" s="13"/>
      <c r="L107" s="13"/>
      <c r="M107" s="13"/>
      <c r="N107" s="13"/>
      <c r="O107" s="13"/>
      <c r="P107" s="13"/>
      <c r="Q107" s="13"/>
      <c r="R107" s="13"/>
      <c r="S107" s="13"/>
      <c r="T107" s="13"/>
      <c r="U107" s="13"/>
      <c r="V107" s="13"/>
      <c r="W107" s="13"/>
      <c r="X107" s="13"/>
      <c r="Y107" s="13"/>
      <c r="Z107" s="17">
        <v>0</v>
      </c>
      <c r="AA107" s="13" t="s">
        <v>233</v>
      </c>
      <c r="AB107" s="13"/>
      <c r="AC107" s="13"/>
      <c r="AD107" s="13"/>
      <c r="AE107" s="13"/>
      <c r="AF107" s="13"/>
      <c r="AG107" s="13"/>
    </row>
    <row r="108" s="13" customFormat="1" ht="15.75" hidden="1" customHeight="1">
      <c r="A108" s="14">
        <v>107</v>
      </c>
      <c r="B108" s="14"/>
      <c r="C108" s="14">
        <v>1</v>
      </c>
      <c r="D108" s="14"/>
      <c r="E108" s="26">
        <v>45573</v>
      </c>
      <c r="F108" s="13"/>
      <c r="G108" s="13"/>
      <c r="H108" s="13"/>
      <c r="I108" s="17">
        <v>6</v>
      </c>
      <c r="J108" s="17" t="s">
        <v>28</v>
      </c>
      <c r="K108" s="13"/>
      <c r="L108" s="13"/>
      <c r="M108" s="17">
        <v>0</v>
      </c>
      <c r="N108" s="13"/>
      <c r="O108" s="13"/>
      <c r="P108" s="13"/>
      <c r="Q108" s="13"/>
      <c r="R108" s="13"/>
      <c r="S108" s="13"/>
      <c r="T108" s="13"/>
      <c r="U108" s="13"/>
      <c r="V108" s="13"/>
      <c r="W108" s="13"/>
      <c r="X108" s="13"/>
      <c r="Y108" s="13"/>
      <c r="Z108" s="17">
        <v>0</v>
      </c>
      <c r="AA108" s="13" t="s">
        <v>234</v>
      </c>
      <c r="AB108" s="13"/>
      <c r="AC108" s="13"/>
      <c r="AD108" s="13"/>
      <c r="AE108" s="13"/>
      <c r="AF108" s="13"/>
      <c r="AG108" s="13"/>
    </row>
    <row r="109" s="13" customFormat="1" ht="15.75" hidden="1" customHeight="1">
      <c r="A109" s="14">
        <v>108</v>
      </c>
      <c r="B109" s="14"/>
      <c r="C109" s="14">
        <v>1</v>
      </c>
      <c r="D109" s="14"/>
      <c r="E109" s="26">
        <v>45573</v>
      </c>
      <c r="F109" s="13"/>
      <c r="G109" s="13"/>
      <c r="H109" s="13"/>
      <c r="I109" s="17">
        <v>6</v>
      </c>
      <c r="J109" s="17" t="s">
        <v>31</v>
      </c>
      <c r="K109" s="13"/>
      <c r="L109" s="13"/>
      <c r="M109" s="17">
        <v>0</v>
      </c>
      <c r="N109" s="13"/>
      <c r="O109" s="13"/>
      <c r="P109" s="13"/>
      <c r="Q109" s="13"/>
      <c r="R109" s="13"/>
      <c r="S109" s="13"/>
      <c r="T109" s="13"/>
      <c r="U109" s="13"/>
      <c r="V109" s="13"/>
      <c r="W109" s="13"/>
      <c r="X109" s="13"/>
      <c r="Y109" s="13"/>
      <c r="Z109" s="17">
        <v>0</v>
      </c>
      <c r="AA109" s="13" t="s">
        <v>235</v>
      </c>
      <c r="AB109" s="13"/>
      <c r="AC109" s="13"/>
      <c r="AD109" s="13"/>
      <c r="AE109" s="13"/>
      <c r="AF109" s="13"/>
      <c r="AG109" s="13"/>
    </row>
    <row r="110" s="88" customFormat="1" ht="15.75" customHeight="1">
      <c r="A110" s="89">
        <v>109</v>
      </c>
      <c r="B110" s="89"/>
      <c r="C110" s="89"/>
      <c r="D110" s="89">
        <v>1</v>
      </c>
      <c r="E110" s="90">
        <v>45581</v>
      </c>
      <c r="F110" s="91">
        <v>45396</v>
      </c>
      <c r="G110" s="92">
        <v>45944</v>
      </c>
      <c r="H110" s="93">
        <v>6.0666666669999998</v>
      </c>
      <c r="I110" s="94">
        <v>6</v>
      </c>
      <c r="J110" s="94" t="s">
        <v>31</v>
      </c>
      <c r="K110" s="99" t="s">
        <v>236</v>
      </c>
      <c r="L110" s="88">
        <f>67</f>
        <v>67</v>
      </c>
      <c r="M110" s="94">
        <v>0</v>
      </c>
      <c r="N110" s="94">
        <v>1</v>
      </c>
      <c r="O110" s="94">
        <v>2</v>
      </c>
      <c r="P110" s="94">
        <v>0</v>
      </c>
      <c r="Q110" s="88"/>
      <c r="R110" s="88"/>
      <c r="S110" s="94">
        <v>1</v>
      </c>
      <c r="T110" s="94">
        <v>1</v>
      </c>
      <c r="U110" s="94">
        <v>2</v>
      </c>
      <c r="V110" s="94">
        <v>0</v>
      </c>
      <c r="W110" s="94">
        <v>2</v>
      </c>
      <c r="X110" s="94">
        <v>0</v>
      </c>
      <c r="Y110" s="94" t="s">
        <v>237</v>
      </c>
      <c r="Z110" s="94">
        <v>0</v>
      </c>
      <c r="AA110" s="88" t="s">
        <v>238</v>
      </c>
      <c r="AB110" s="88"/>
      <c r="AC110" s="88"/>
      <c r="AD110" s="88"/>
      <c r="AE110" s="88"/>
      <c r="AF110" s="88"/>
      <c r="AG110" s="88"/>
    </row>
    <row r="111" ht="15.75" customHeight="1">
      <c r="A111" s="1">
        <v>110</v>
      </c>
      <c r="B111" s="1"/>
      <c r="C111" s="1"/>
      <c r="D111" s="1">
        <v>1</v>
      </c>
      <c r="E111" s="27">
        <v>45587</v>
      </c>
      <c r="F111" s="28">
        <v>45473</v>
      </c>
      <c r="G111" s="28">
        <v>46021</v>
      </c>
      <c r="H111" s="2">
        <f>3+22/30</f>
        <v>3.7333333333333334</v>
      </c>
      <c r="I111" s="2">
        <v>3</v>
      </c>
      <c r="J111" s="2" t="s">
        <v>31</v>
      </c>
      <c r="K111" s="2" t="s">
        <v>239</v>
      </c>
      <c r="L111" s="2">
        <v>78</v>
      </c>
      <c r="M111" s="2">
        <v>-100</v>
      </c>
      <c r="N111" s="2">
        <v>1</v>
      </c>
      <c r="O111" s="2">
        <v>2</v>
      </c>
      <c r="P111" s="2">
        <v>0</v>
      </c>
      <c r="R111" s="2">
        <v>0</v>
      </c>
      <c r="S111" s="2">
        <v>1</v>
      </c>
      <c r="T111" s="2">
        <v>1</v>
      </c>
      <c r="U111" s="2">
        <v>1</v>
      </c>
      <c r="V111" s="2">
        <v>0</v>
      </c>
      <c r="W111" s="2">
        <v>2</v>
      </c>
      <c r="X111" s="2">
        <v>0</v>
      </c>
      <c r="Y111" s="2" t="s">
        <v>240</v>
      </c>
      <c r="Z111" s="2">
        <v>0</v>
      </c>
      <c r="AA111" t="s">
        <v>241</v>
      </c>
    </row>
    <row r="112" s="88" customFormat="1" ht="15.75" customHeight="1">
      <c r="A112" s="89">
        <v>111</v>
      </c>
      <c r="B112" s="89"/>
      <c r="C112" s="89"/>
      <c r="D112" s="89">
        <v>1</v>
      </c>
      <c r="E112" s="90">
        <v>45587</v>
      </c>
      <c r="F112" s="91">
        <v>45396</v>
      </c>
      <c r="G112" s="92">
        <v>45944</v>
      </c>
      <c r="H112" s="94">
        <f>6+8/30</f>
        <v>6.2666666666666666</v>
      </c>
      <c r="I112" s="94">
        <v>6</v>
      </c>
      <c r="J112" s="94" t="s">
        <v>31</v>
      </c>
      <c r="K112" s="94" t="s">
        <v>242</v>
      </c>
      <c r="L112" s="88">
        <v>133</v>
      </c>
      <c r="M112" s="94">
        <v>0</v>
      </c>
      <c r="N112" s="94">
        <v>1</v>
      </c>
      <c r="O112" s="94">
        <v>2</v>
      </c>
      <c r="P112" s="94">
        <v>0</v>
      </c>
      <c r="Q112" s="88"/>
      <c r="R112" s="88"/>
      <c r="S112" s="94">
        <v>0</v>
      </c>
      <c r="T112" s="94">
        <v>1</v>
      </c>
      <c r="U112" s="94">
        <v>1</v>
      </c>
      <c r="V112" s="94">
        <v>0</v>
      </c>
      <c r="W112" s="94">
        <v>2</v>
      </c>
      <c r="X112" s="94">
        <v>0</v>
      </c>
      <c r="Y112" s="94" t="s">
        <v>243</v>
      </c>
      <c r="Z112" s="94">
        <v>0</v>
      </c>
      <c r="AA112" s="88" t="s">
        <v>244</v>
      </c>
      <c r="AB112" s="88"/>
      <c r="AC112" s="88"/>
      <c r="AD112" s="88"/>
      <c r="AE112" s="88"/>
      <c r="AF112" s="88"/>
      <c r="AG112" s="88"/>
    </row>
    <row r="113" s="88" customFormat="1" ht="15.75" customHeight="1">
      <c r="A113" s="89">
        <v>112</v>
      </c>
      <c r="B113" s="89"/>
      <c r="C113" s="89"/>
      <c r="D113" s="89">
        <v>1</v>
      </c>
      <c r="E113" s="90">
        <v>45594</v>
      </c>
      <c r="F113" s="91">
        <v>45411</v>
      </c>
      <c r="G113" s="92">
        <v>45959</v>
      </c>
      <c r="H113" s="88">
        <f>6</f>
        <v>6</v>
      </c>
      <c r="I113" s="94">
        <v>6</v>
      </c>
      <c r="J113" s="94" t="s">
        <v>31</v>
      </c>
      <c r="K113" s="94" t="s">
        <v>245</v>
      </c>
      <c r="L113" s="88">
        <v>69</v>
      </c>
      <c r="M113" s="94">
        <v>0</v>
      </c>
      <c r="N113" s="94">
        <v>2</v>
      </c>
      <c r="O113" s="94">
        <v>1</v>
      </c>
      <c r="P113" s="94">
        <v>0</v>
      </c>
      <c r="Q113" s="88"/>
      <c r="R113" s="94"/>
      <c r="S113" s="94">
        <v>0</v>
      </c>
      <c r="T113" s="94">
        <v>1</v>
      </c>
      <c r="U113" s="94">
        <v>2</v>
      </c>
      <c r="V113" s="94">
        <v>1</v>
      </c>
      <c r="W113" s="94">
        <v>1</v>
      </c>
      <c r="X113" s="94">
        <v>0</v>
      </c>
      <c r="Y113" s="94" t="s">
        <v>246</v>
      </c>
      <c r="Z113" s="94">
        <v>0</v>
      </c>
      <c r="AA113" s="88" t="s">
        <v>247</v>
      </c>
      <c r="AB113" s="88"/>
      <c r="AC113" s="88"/>
      <c r="AD113" s="88"/>
      <c r="AE113" s="88"/>
      <c r="AF113" s="88"/>
      <c r="AG113" s="88"/>
    </row>
    <row r="114" s="100" customFormat="1" ht="15.75" hidden="1" customHeight="1">
      <c r="A114" s="82">
        <v>113</v>
      </c>
      <c r="B114" s="82">
        <v>1</v>
      </c>
      <c r="C114" s="82"/>
      <c r="D114" s="82"/>
      <c r="E114" s="101">
        <v>45595</v>
      </c>
      <c r="F114" s="102">
        <v>45401</v>
      </c>
      <c r="G114" s="100"/>
      <c r="H114" s="100"/>
      <c r="I114" s="103">
        <v>6</v>
      </c>
      <c r="J114" s="103" t="s">
        <v>31</v>
      </c>
      <c r="K114" s="104" t="s">
        <v>52</v>
      </c>
      <c r="L114" s="100"/>
      <c r="M114" s="103">
        <v>0</v>
      </c>
      <c r="N114" s="103">
        <v>2</v>
      </c>
      <c r="O114" s="103">
        <v>1</v>
      </c>
      <c r="P114" s="103">
        <v>0</v>
      </c>
      <c r="Q114" s="100"/>
      <c r="R114" s="100"/>
      <c r="S114" s="103">
        <v>1</v>
      </c>
      <c r="T114" s="103">
        <v>1</v>
      </c>
      <c r="U114" s="103">
        <v>0</v>
      </c>
      <c r="V114" s="103">
        <v>0</v>
      </c>
      <c r="W114" s="103">
        <v>1</v>
      </c>
      <c r="X114" s="103">
        <v>0</v>
      </c>
      <c r="Y114" s="103" t="s">
        <v>248</v>
      </c>
      <c r="Z114" s="103">
        <v>0</v>
      </c>
      <c r="AA114" s="103" t="s">
        <v>249</v>
      </c>
      <c r="AB114" s="100"/>
      <c r="AC114" s="100"/>
      <c r="AD114" s="100"/>
      <c r="AE114" s="100"/>
      <c r="AF114" s="100"/>
      <c r="AG114" s="100"/>
    </row>
    <row r="115" s="88" customFormat="1" ht="15.75" customHeight="1">
      <c r="A115" s="89">
        <v>114</v>
      </c>
      <c r="B115" s="89"/>
      <c r="C115" s="89"/>
      <c r="D115" s="89">
        <v>1</v>
      </c>
      <c r="E115" s="90">
        <v>45595</v>
      </c>
      <c r="F115" s="91">
        <v>45404</v>
      </c>
      <c r="G115" s="92">
        <v>45952</v>
      </c>
      <c r="H115" s="88">
        <f>6+8/30</f>
        <v>6.2666666666666666</v>
      </c>
      <c r="I115" s="94">
        <v>6</v>
      </c>
      <c r="J115" s="94" t="s">
        <v>28</v>
      </c>
      <c r="K115" s="94" t="s">
        <v>250</v>
      </c>
      <c r="L115" s="88">
        <v>45</v>
      </c>
      <c r="M115" s="94">
        <v>0</v>
      </c>
      <c r="N115" s="94">
        <v>2</v>
      </c>
      <c r="O115" s="94">
        <v>1</v>
      </c>
      <c r="P115" s="94">
        <v>0</v>
      </c>
      <c r="Q115" s="88"/>
      <c r="R115" s="88"/>
      <c r="S115" s="94">
        <v>0</v>
      </c>
      <c r="T115" s="94">
        <v>1</v>
      </c>
      <c r="U115" s="94">
        <v>1</v>
      </c>
      <c r="V115" s="94">
        <v>0</v>
      </c>
      <c r="W115" s="94">
        <v>3</v>
      </c>
      <c r="X115" s="94">
        <v>0</v>
      </c>
      <c r="Y115" s="94" t="s">
        <v>251</v>
      </c>
      <c r="Z115" s="94">
        <v>0</v>
      </c>
      <c r="AA115" s="88" t="s">
        <v>252</v>
      </c>
      <c r="AB115" s="88"/>
      <c r="AC115" s="88"/>
      <c r="AD115" s="88"/>
      <c r="AE115" s="88"/>
      <c r="AF115" s="88"/>
      <c r="AG115" s="88"/>
    </row>
    <row r="116" s="88" customFormat="1" ht="15.75" customHeight="1">
      <c r="A116" s="89">
        <v>115</v>
      </c>
      <c r="B116" s="89"/>
      <c r="C116" s="89"/>
      <c r="D116" s="89">
        <v>1</v>
      </c>
      <c r="E116" s="90">
        <v>45596</v>
      </c>
      <c r="F116" s="91">
        <v>45410</v>
      </c>
      <c r="G116" s="92">
        <v>45958</v>
      </c>
      <c r="H116" s="88">
        <f>6+3/30</f>
        <v>6.0999999999999996</v>
      </c>
      <c r="I116" s="94">
        <v>6</v>
      </c>
      <c r="J116" s="94" t="s">
        <v>31</v>
      </c>
      <c r="K116" s="94" t="s">
        <v>253</v>
      </c>
      <c r="L116" s="88">
        <v>175</v>
      </c>
      <c r="M116" s="94">
        <v>0</v>
      </c>
      <c r="N116" s="94">
        <v>2</v>
      </c>
      <c r="O116" s="94">
        <v>2</v>
      </c>
      <c r="P116" s="94">
        <v>0</v>
      </c>
      <c r="Q116" s="88"/>
      <c r="R116" s="88"/>
      <c r="S116" s="94">
        <v>0</v>
      </c>
      <c r="T116" s="94">
        <v>1</v>
      </c>
      <c r="U116" s="94">
        <v>2</v>
      </c>
      <c r="V116" s="94">
        <v>0</v>
      </c>
      <c r="W116" s="94">
        <v>2</v>
      </c>
      <c r="X116" s="94">
        <v>0</v>
      </c>
      <c r="Y116" s="94" t="s">
        <v>254</v>
      </c>
      <c r="Z116" s="94">
        <v>0</v>
      </c>
      <c r="AA116" s="88" t="s">
        <v>255</v>
      </c>
      <c r="AB116" s="88"/>
      <c r="AC116" s="88"/>
      <c r="AD116" s="88"/>
      <c r="AE116" s="88"/>
      <c r="AF116" s="88"/>
      <c r="AG116" s="88"/>
    </row>
    <row r="117" s="88" customFormat="1" ht="15.75" customHeight="1">
      <c r="A117" s="89">
        <v>116</v>
      </c>
      <c r="B117" s="89"/>
      <c r="C117" s="89"/>
      <c r="D117" s="89">
        <v>1</v>
      </c>
      <c r="E117" s="90">
        <v>45601</v>
      </c>
      <c r="F117" s="92">
        <v>45405</v>
      </c>
      <c r="G117" s="92">
        <v>45953</v>
      </c>
      <c r="H117" s="88">
        <f>6+12/30</f>
        <v>6.4000000000000004</v>
      </c>
      <c r="I117" s="94">
        <v>6</v>
      </c>
      <c r="J117" s="94" t="s">
        <v>28</v>
      </c>
      <c r="K117" s="88" t="s">
        <v>256</v>
      </c>
      <c r="L117" s="88">
        <f>60*4+46</f>
        <v>286</v>
      </c>
      <c r="M117" s="94">
        <v>0</v>
      </c>
      <c r="N117" s="94">
        <v>2</v>
      </c>
      <c r="O117" s="94">
        <v>2</v>
      </c>
      <c r="P117" s="94">
        <v>0</v>
      </c>
      <c r="Q117" s="88"/>
      <c r="R117" s="88"/>
      <c r="S117" s="88">
        <v>0</v>
      </c>
      <c r="T117" s="88">
        <v>1</v>
      </c>
      <c r="U117" s="88">
        <v>1</v>
      </c>
      <c r="V117" s="88">
        <v>1</v>
      </c>
      <c r="W117" s="88">
        <v>2</v>
      </c>
      <c r="X117" s="88">
        <v>0</v>
      </c>
      <c r="Y117" s="88" t="s">
        <v>257</v>
      </c>
      <c r="Z117" s="94">
        <v>0</v>
      </c>
      <c r="AA117" s="88" t="s">
        <v>258</v>
      </c>
      <c r="AB117" s="88"/>
      <c r="AC117" s="88"/>
      <c r="AD117" s="88"/>
      <c r="AE117" s="88"/>
      <c r="AF117" s="88"/>
      <c r="AG117" s="88"/>
    </row>
    <row r="118" s="88" customFormat="1" ht="15.75" customHeight="1">
      <c r="A118" s="89">
        <v>117</v>
      </c>
      <c r="B118" s="89"/>
      <c r="C118" s="89"/>
      <c r="D118" s="89">
        <v>1</v>
      </c>
      <c r="E118" s="89" t="s">
        <v>259</v>
      </c>
      <c r="F118" s="92">
        <v>45406</v>
      </c>
      <c r="G118" s="92">
        <v>45954</v>
      </c>
      <c r="H118" s="88">
        <f>6+18/30</f>
        <v>6.5999999999999996</v>
      </c>
      <c r="I118" s="94">
        <v>6</v>
      </c>
      <c r="J118" s="94" t="s">
        <v>31</v>
      </c>
      <c r="K118" s="94" t="s">
        <v>260</v>
      </c>
      <c r="L118" s="88">
        <f>6*60+58</f>
        <v>418</v>
      </c>
      <c r="M118" s="94">
        <v>0</v>
      </c>
      <c r="N118" s="94">
        <v>2</v>
      </c>
      <c r="O118" s="94">
        <v>2</v>
      </c>
      <c r="P118" s="94">
        <v>0</v>
      </c>
      <c r="Q118" s="88"/>
      <c r="R118" s="88"/>
      <c r="S118" s="88">
        <v>0</v>
      </c>
      <c r="T118" s="88">
        <v>1</v>
      </c>
      <c r="U118" s="88">
        <v>2</v>
      </c>
      <c r="V118" s="88">
        <v>1</v>
      </c>
      <c r="W118" s="88">
        <v>3</v>
      </c>
      <c r="X118" s="88">
        <v>0</v>
      </c>
      <c r="Y118" s="88" t="s">
        <v>261</v>
      </c>
      <c r="Z118" s="94">
        <v>0</v>
      </c>
      <c r="AA118" s="88" t="s">
        <v>262</v>
      </c>
      <c r="AB118" s="88"/>
      <c r="AC118" s="88"/>
      <c r="AD118" s="88"/>
      <c r="AE118" s="88"/>
      <c r="AF118" s="88"/>
      <c r="AG118" s="88"/>
    </row>
    <row r="119" ht="15.75" customHeight="1">
      <c r="A119" s="1">
        <v>118</v>
      </c>
      <c r="B119" s="1"/>
      <c r="C119" s="1"/>
      <c r="D119" s="1">
        <v>1</v>
      </c>
      <c r="E119" s="27">
        <v>45614</v>
      </c>
      <c r="F119" s="28">
        <v>45490</v>
      </c>
      <c r="G119" s="28">
        <v>46039</v>
      </c>
      <c r="H119" s="2">
        <f>4+1/30</f>
        <v>4.0333333333333332</v>
      </c>
      <c r="I119" s="2">
        <v>3</v>
      </c>
      <c r="J119" s="2" t="s">
        <v>28</v>
      </c>
      <c r="K119" s="2" t="s">
        <v>263</v>
      </c>
      <c r="L119" s="2">
        <v>223</v>
      </c>
      <c r="M119" s="2">
        <v>-100</v>
      </c>
      <c r="N119" s="2">
        <v>1</v>
      </c>
      <c r="O119" s="2">
        <v>2</v>
      </c>
      <c r="P119" s="2">
        <v>0</v>
      </c>
      <c r="R119" s="2">
        <v>0</v>
      </c>
      <c r="S119" s="2">
        <v>0</v>
      </c>
      <c r="T119" s="2">
        <v>0</v>
      </c>
      <c r="U119" s="2">
        <v>0</v>
      </c>
      <c r="V119" s="2">
        <v>0</v>
      </c>
      <c r="W119" s="2">
        <v>2</v>
      </c>
      <c r="X119" s="2">
        <v>0</v>
      </c>
      <c r="Y119" s="2" t="s">
        <v>264</v>
      </c>
      <c r="Z119" s="2">
        <v>0</v>
      </c>
      <c r="AA119" t="s">
        <v>265</v>
      </c>
    </row>
    <row r="120" ht="15.75" customHeight="1">
      <c r="A120" s="1">
        <v>119</v>
      </c>
      <c r="B120" s="1"/>
      <c r="C120" s="1"/>
      <c r="D120" s="1">
        <v>1</v>
      </c>
      <c r="E120" s="27">
        <v>45629</v>
      </c>
      <c r="F120" s="28">
        <v>45510</v>
      </c>
      <c r="G120" s="28">
        <v>46059</v>
      </c>
      <c r="H120" s="2">
        <f>4-3/30</f>
        <v>3.8999999999999999</v>
      </c>
      <c r="I120" s="2">
        <v>3</v>
      </c>
      <c r="J120" s="2" t="s">
        <v>31</v>
      </c>
      <c r="K120" s="2" t="s">
        <v>266</v>
      </c>
      <c r="L120" s="2">
        <v>53</v>
      </c>
      <c r="M120" s="2">
        <v>100</v>
      </c>
      <c r="N120" s="2">
        <v>2</v>
      </c>
      <c r="O120" s="2">
        <v>1</v>
      </c>
      <c r="P120" s="2">
        <v>0</v>
      </c>
      <c r="R120" s="2">
        <v>0</v>
      </c>
      <c r="S120" s="2">
        <v>1</v>
      </c>
      <c r="T120" s="2">
        <v>1</v>
      </c>
      <c r="U120" s="2">
        <v>0</v>
      </c>
      <c r="V120" s="2"/>
      <c r="W120" s="2">
        <v>2</v>
      </c>
      <c r="X120" s="2">
        <v>0</v>
      </c>
      <c r="Y120" s="2" t="s">
        <v>267</v>
      </c>
      <c r="Z120" s="2">
        <v>0</v>
      </c>
      <c r="AA120" t="s">
        <v>268</v>
      </c>
    </row>
    <row r="121" ht="15.75" customHeight="1">
      <c r="A121" s="1">
        <v>120</v>
      </c>
      <c r="B121" s="1"/>
      <c r="C121" s="1"/>
      <c r="D121" s="1">
        <v>1</v>
      </c>
      <c r="E121" s="27">
        <v>45629</v>
      </c>
      <c r="F121" s="28">
        <v>45520</v>
      </c>
      <c r="G121" s="28">
        <v>46069</v>
      </c>
      <c r="H121" s="2">
        <f>3+17/30</f>
        <v>3.5666666666666664</v>
      </c>
      <c r="I121" s="2">
        <v>3</v>
      </c>
      <c r="J121" s="2" t="s">
        <v>28</v>
      </c>
      <c r="K121" s="2" t="s">
        <v>269</v>
      </c>
      <c r="L121" s="2">
        <v>90</v>
      </c>
      <c r="M121" s="2">
        <v>-100</v>
      </c>
      <c r="N121" s="2">
        <v>2</v>
      </c>
      <c r="O121" s="2">
        <v>1</v>
      </c>
      <c r="P121" s="2">
        <v>0</v>
      </c>
      <c r="R121" s="2">
        <v>0</v>
      </c>
      <c r="S121" s="2">
        <v>0</v>
      </c>
      <c r="T121" s="2">
        <v>1</v>
      </c>
      <c r="U121" s="2">
        <v>0</v>
      </c>
      <c r="W121" s="2">
        <v>2</v>
      </c>
      <c r="X121" s="2">
        <v>0</v>
      </c>
      <c r="Y121" s="2" t="s">
        <v>270</v>
      </c>
      <c r="Z121" s="2">
        <v>0</v>
      </c>
      <c r="AA121" t="s">
        <v>271</v>
      </c>
    </row>
    <row r="122" s="88" customFormat="1" ht="15.75" customHeight="1">
      <c r="A122" s="89">
        <v>121</v>
      </c>
      <c r="B122" s="89"/>
      <c r="C122" s="89"/>
      <c r="D122" s="89">
        <v>1</v>
      </c>
      <c r="E122" s="90">
        <v>45630</v>
      </c>
      <c r="F122" s="91">
        <v>45433</v>
      </c>
      <c r="G122" s="91">
        <v>45982</v>
      </c>
      <c r="H122" s="94">
        <f>6+13/30</f>
        <v>6.4333333333333336</v>
      </c>
      <c r="I122" s="94">
        <v>6</v>
      </c>
      <c r="J122" s="94" t="s">
        <v>31</v>
      </c>
      <c r="K122" s="94" t="s">
        <v>272</v>
      </c>
      <c r="L122" s="94">
        <v>49</v>
      </c>
      <c r="M122" s="94">
        <v>0</v>
      </c>
      <c r="N122" s="94">
        <v>2</v>
      </c>
      <c r="O122" s="94">
        <v>2</v>
      </c>
      <c r="P122" s="94">
        <v>0</v>
      </c>
      <c r="Q122" s="88"/>
      <c r="R122" s="88" t="s">
        <v>273</v>
      </c>
      <c r="S122" s="94">
        <v>0</v>
      </c>
      <c r="T122" s="94">
        <v>1</v>
      </c>
      <c r="U122" s="94">
        <v>1</v>
      </c>
      <c r="V122" s="94">
        <v>1</v>
      </c>
      <c r="W122" s="94">
        <v>2</v>
      </c>
      <c r="X122" s="94">
        <v>0</v>
      </c>
      <c r="Y122" s="94" t="s">
        <v>274</v>
      </c>
      <c r="Z122" s="94">
        <v>0</v>
      </c>
      <c r="AA122" s="88" t="s">
        <v>275</v>
      </c>
      <c r="AB122" s="88"/>
      <c r="AC122" s="88"/>
      <c r="AD122" s="88"/>
      <c r="AE122" s="88"/>
      <c r="AF122" s="88"/>
      <c r="AG122" s="88"/>
    </row>
    <row r="123" s="88" customFormat="1" ht="15.75" customHeight="1">
      <c r="A123" s="89">
        <v>122</v>
      </c>
      <c r="B123" s="89"/>
      <c r="C123" s="89"/>
      <c r="D123" s="89">
        <v>1</v>
      </c>
      <c r="E123" s="90">
        <v>45631</v>
      </c>
      <c r="F123" s="91">
        <v>45446</v>
      </c>
      <c r="G123" s="91">
        <v>45994</v>
      </c>
      <c r="H123" s="94">
        <f>6+2/30</f>
        <v>6.0666666666666664</v>
      </c>
      <c r="I123" s="94">
        <v>6</v>
      </c>
      <c r="J123" s="94" t="s">
        <v>31</v>
      </c>
      <c r="K123" s="94" t="s">
        <v>276</v>
      </c>
      <c r="L123" s="94">
        <v>270</v>
      </c>
      <c r="M123" s="94">
        <v>0</v>
      </c>
      <c r="N123" s="94">
        <v>2</v>
      </c>
      <c r="O123" s="94">
        <v>2</v>
      </c>
      <c r="P123" s="94">
        <v>0</v>
      </c>
      <c r="Q123" s="88"/>
      <c r="R123" s="88"/>
      <c r="S123" s="94">
        <v>0</v>
      </c>
      <c r="T123" s="94">
        <v>1</v>
      </c>
      <c r="U123" s="94">
        <v>1</v>
      </c>
      <c r="V123" s="94">
        <v>0</v>
      </c>
      <c r="W123" s="94">
        <v>2</v>
      </c>
      <c r="X123" s="94">
        <v>0</v>
      </c>
      <c r="Y123" s="94" t="s">
        <v>277</v>
      </c>
      <c r="Z123" s="94">
        <v>0</v>
      </c>
      <c r="AA123" s="88" t="s">
        <v>278</v>
      </c>
      <c r="AB123" s="88"/>
      <c r="AC123" s="88"/>
      <c r="AD123" s="88"/>
      <c r="AE123" s="88"/>
      <c r="AF123" s="88"/>
      <c r="AG123" s="88"/>
    </row>
    <row r="124" s="88" customFormat="1" ht="15.75" customHeight="1">
      <c r="A124" s="89">
        <v>123</v>
      </c>
      <c r="B124" s="89"/>
      <c r="C124" s="89"/>
      <c r="D124" s="89">
        <v>1</v>
      </c>
      <c r="E124" s="90">
        <v>45637</v>
      </c>
      <c r="F124" s="92">
        <v>45809</v>
      </c>
      <c r="G124" s="92">
        <v>45992</v>
      </c>
      <c r="H124" s="88">
        <f>6+10/30</f>
        <v>6.333333333333333</v>
      </c>
      <c r="I124" s="94">
        <v>6</v>
      </c>
      <c r="J124" s="94" t="s">
        <v>31</v>
      </c>
      <c r="K124" s="94" t="s">
        <v>236</v>
      </c>
      <c r="L124" s="94">
        <v>67</v>
      </c>
      <c r="M124" s="94">
        <v>0</v>
      </c>
      <c r="N124" s="94">
        <v>1</v>
      </c>
      <c r="O124" s="94">
        <v>1</v>
      </c>
      <c r="P124" s="94"/>
      <c r="Q124" s="94" t="s">
        <v>279</v>
      </c>
      <c r="R124" s="88"/>
      <c r="S124" s="94">
        <v>0</v>
      </c>
      <c r="T124" s="94">
        <v>1</v>
      </c>
      <c r="U124" s="94">
        <v>1</v>
      </c>
      <c r="V124" s="94">
        <v>1</v>
      </c>
      <c r="W124" s="94">
        <v>3</v>
      </c>
      <c r="X124" s="94">
        <v>0</v>
      </c>
      <c r="Y124" s="94" t="s">
        <v>280</v>
      </c>
      <c r="Z124" s="94">
        <v>0</v>
      </c>
      <c r="AA124" s="88" t="s">
        <v>281</v>
      </c>
      <c r="AB124" s="88"/>
      <c r="AC124" s="88"/>
      <c r="AD124" s="88"/>
      <c r="AE124" s="88"/>
      <c r="AF124" s="88"/>
      <c r="AG124" s="88"/>
    </row>
    <row r="125" s="13" customFormat="1" ht="15.75" hidden="1" customHeight="1">
      <c r="A125" s="14">
        <v>124</v>
      </c>
      <c r="B125" s="14"/>
      <c r="C125" s="14">
        <v>1</v>
      </c>
      <c r="D125" s="14"/>
      <c r="E125" s="26">
        <v>45638</v>
      </c>
      <c r="F125" s="13"/>
      <c r="G125" s="13"/>
      <c r="H125" s="13"/>
      <c r="I125" s="17">
        <v>3</v>
      </c>
      <c r="J125" s="17" t="s">
        <v>31</v>
      </c>
      <c r="K125" s="13"/>
      <c r="L125" s="13"/>
      <c r="M125" s="17">
        <v>100</v>
      </c>
      <c r="N125" s="17">
        <v>2</v>
      </c>
      <c r="O125" s="17">
        <v>1</v>
      </c>
      <c r="P125" s="17">
        <v>0</v>
      </c>
      <c r="Q125" s="13"/>
      <c r="R125" s="13"/>
      <c r="S125" s="13"/>
      <c r="T125" s="13"/>
      <c r="U125" s="13"/>
      <c r="V125" s="13"/>
      <c r="W125" s="13"/>
      <c r="X125" s="13"/>
      <c r="Y125" s="13"/>
      <c r="Z125" s="13">
        <v>0</v>
      </c>
      <c r="AA125" s="13" t="s">
        <v>282</v>
      </c>
      <c r="AB125" s="13"/>
      <c r="AC125" s="13"/>
      <c r="AD125" s="13"/>
      <c r="AE125" s="13"/>
      <c r="AF125" s="13"/>
      <c r="AG125" s="13"/>
    </row>
    <row r="126" ht="15.75" customHeight="1">
      <c r="A126" s="1">
        <v>125</v>
      </c>
      <c r="B126" s="1"/>
      <c r="C126" s="1"/>
      <c r="D126" s="1">
        <v>1</v>
      </c>
      <c r="E126" s="27">
        <v>45663</v>
      </c>
      <c r="F126" s="28">
        <v>45551</v>
      </c>
      <c r="G126" s="28">
        <v>46097</v>
      </c>
      <c r="H126" s="2">
        <f>4+10/30</f>
        <v>4.333333333333333</v>
      </c>
      <c r="I126" s="2">
        <v>3</v>
      </c>
      <c r="J126" s="2" t="s">
        <v>28</v>
      </c>
      <c r="K126" s="2" t="s">
        <v>283</v>
      </c>
      <c r="L126" s="2">
        <v>194</v>
      </c>
      <c r="M126" s="2">
        <v>100</v>
      </c>
      <c r="N126" s="2">
        <v>2</v>
      </c>
      <c r="O126" s="2">
        <v>2</v>
      </c>
      <c r="P126" s="2">
        <v>0</v>
      </c>
      <c r="R126" s="2">
        <v>0</v>
      </c>
      <c r="S126" s="2">
        <v>0</v>
      </c>
      <c r="T126" s="2">
        <v>1</v>
      </c>
      <c r="U126" s="2">
        <v>1</v>
      </c>
      <c r="W126" s="2">
        <v>2</v>
      </c>
      <c r="X126" s="2">
        <v>0</v>
      </c>
      <c r="Y126" s="2" t="s">
        <v>284</v>
      </c>
      <c r="Z126" s="2">
        <v>0</v>
      </c>
      <c r="AA126" t="s">
        <v>285</v>
      </c>
    </row>
    <row r="127" s="13" customFormat="1" ht="15.75" hidden="1" customHeight="1">
      <c r="A127" s="14">
        <v>126</v>
      </c>
      <c r="B127" s="14"/>
      <c r="C127" s="14">
        <v>1</v>
      </c>
      <c r="D127" s="14"/>
      <c r="E127" s="26">
        <v>45665</v>
      </c>
      <c r="F127" s="13"/>
      <c r="G127" s="13"/>
      <c r="H127" s="13"/>
      <c r="I127" s="17">
        <v>3</v>
      </c>
      <c r="J127" s="17" t="s">
        <v>31</v>
      </c>
      <c r="K127" s="13"/>
      <c r="L127" s="13"/>
      <c r="M127" s="17">
        <v>-100</v>
      </c>
      <c r="N127" s="17">
        <v>1</v>
      </c>
      <c r="O127" s="17">
        <v>2</v>
      </c>
      <c r="P127" s="13"/>
      <c r="Q127" s="13"/>
      <c r="R127" s="13"/>
      <c r="S127" s="13"/>
      <c r="T127" s="13"/>
      <c r="U127" s="13"/>
      <c r="V127" s="13"/>
      <c r="W127" s="13"/>
      <c r="X127" s="13"/>
      <c r="Y127" s="13"/>
      <c r="Z127" s="13"/>
      <c r="AA127" s="13" t="s">
        <v>286</v>
      </c>
      <c r="AB127" s="13"/>
      <c r="AC127" s="13"/>
      <c r="AD127" s="13"/>
      <c r="AE127" s="13"/>
      <c r="AF127" s="13"/>
      <c r="AG127" s="13"/>
    </row>
    <row r="128" ht="15.75" customHeight="1">
      <c r="A128" s="1">
        <v>127</v>
      </c>
      <c r="B128" s="1"/>
      <c r="C128" s="1"/>
      <c r="D128" s="1">
        <v>1</v>
      </c>
      <c r="E128" s="27">
        <v>45666</v>
      </c>
      <c r="F128" s="28">
        <v>45550</v>
      </c>
      <c r="G128" s="28">
        <v>46096</v>
      </c>
      <c r="H128" s="2">
        <f>4+6/30</f>
        <v>4.2000000000000002</v>
      </c>
      <c r="I128" s="2">
        <v>3</v>
      </c>
      <c r="J128" s="2" t="s">
        <v>28</v>
      </c>
      <c r="K128" s="2" t="s">
        <v>287</v>
      </c>
      <c r="L128" s="2">
        <v>290</v>
      </c>
      <c r="M128" s="2">
        <v>-100</v>
      </c>
      <c r="N128" s="2">
        <v>2</v>
      </c>
      <c r="O128" s="2">
        <v>2</v>
      </c>
      <c r="P128" s="2">
        <v>0</v>
      </c>
      <c r="R128" s="2">
        <v>0</v>
      </c>
      <c r="S128" s="2">
        <v>0</v>
      </c>
      <c r="T128" s="2">
        <v>1</v>
      </c>
      <c r="U128" s="2">
        <v>1</v>
      </c>
      <c r="W128" s="2">
        <v>2</v>
      </c>
      <c r="X128" s="2">
        <v>0</v>
      </c>
      <c r="Y128" s="2" t="s">
        <v>288</v>
      </c>
      <c r="Z128" s="2">
        <v>0</v>
      </c>
      <c r="AA128" t="s">
        <v>289</v>
      </c>
    </row>
    <row r="129" s="13" customFormat="1" ht="15.75" hidden="1" customHeight="1">
      <c r="A129" s="14">
        <v>128</v>
      </c>
      <c r="B129" s="14"/>
      <c r="C129" s="14">
        <v>1</v>
      </c>
      <c r="D129" s="14"/>
      <c r="E129" s="26">
        <v>45667</v>
      </c>
      <c r="F129" s="13"/>
      <c r="G129" s="13"/>
      <c r="H129" s="13"/>
      <c r="I129" s="17">
        <v>3</v>
      </c>
      <c r="J129" s="17" t="s">
        <v>28</v>
      </c>
      <c r="K129" s="13"/>
      <c r="L129" s="13"/>
      <c r="M129" s="17">
        <v>100</v>
      </c>
      <c r="N129" s="17">
        <v>1</v>
      </c>
      <c r="O129" s="17">
        <v>1</v>
      </c>
      <c r="P129" s="17">
        <v>0</v>
      </c>
      <c r="Q129" s="13"/>
      <c r="R129" s="13"/>
      <c r="S129" s="13"/>
      <c r="T129" s="13"/>
      <c r="U129" s="13"/>
      <c r="V129" s="13"/>
      <c r="W129" s="13"/>
      <c r="X129" s="13"/>
      <c r="Y129" s="13"/>
      <c r="Z129" s="13">
        <v>0</v>
      </c>
      <c r="AA129" s="13" t="s">
        <v>290</v>
      </c>
      <c r="AB129" s="13"/>
      <c r="AC129" s="13"/>
      <c r="AD129" s="13"/>
      <c r="AE129" s="13"/>
      <c r="AF129" s="13"/>
      <c r="AG129" s="13"/>
    </row>
    <row r="130" ht="15.75" customHeight="1">
      <c r="A130" s="1">
        <v>129</v>
      </c>
      <c r="B130" s="1"/>
      <c r="C130" s="1"/>
      <c r="D130" s="1">
        <v>1</v>
      </c>
      <c r="E130" s="27">
        <v>45671</v>
      </c>
      <c r="F130" s="28">
        <v>45558</v>
      </c>
      <c r="G130" s="28">
        <v>46104</v>
      </c>
      <c r="H130" s="2">
        <f>3+22/30</f>
        <v>3.7333333333333334</v>
      </c>
      <c r="I130" s="2">
        <v>3</v>
      </c>
      <c r="J130" s="2" t="s">
        <v>31</v>
      </c>
      <c r="K130" s="2" t="s">
        <v>291</v>
      </c>
      <c r="L130" s="2">
        <v>157</v>
      </c>
      <c r="M130" s="2">
        <v>100</v>
      </c>
      <c r="N130" s="2">
        <v>1</v>
      </c>
      <c r="O130" s="2">
        <v>1</v>
      </c>
      <c r="P130" s="2">
        <v>0</v>
      </c>
      <c r="R130" s="2">
        <v>0</v>
      </c>
      <c r="S130" s="2">
        <v>0</v>
      </c>
      <c r="T130" s="2">
        <v>1</v>
      </c>
      <c r="U130" s="2">
        <v>1</v>
      </c>
      <c r="W130" s="2">
        <v>2</v>
      </c>
      <c r="X130" s="2">
        <v>0</v>
      </c>
      <c r="Y130" s="2" t="s">
        <v>292</v>
      </c>
      <c r="Z130" s="2">
        <v>0</v>
      </c>
      <c r="AA130" t="s">
        <v>293</v>
      </c>
    </row>
    <row r="131" ht="15.75" customHeight="1">
      <c r="A131" s="1">
        <v>130</v>
      </c>
      <c r="B131" s="1"/>
      <c r="C131" s="1"/>
      <c r="D131" s="1">
        <v>1</v>
      </c>
      <c r="E131" s="27">
        <v>45673</v>
      </c>
      <c r="F131" s="105">
        <v>45559</v>
      </c>
      <c r="G131" s="28">
        <v>46105</v>
      </c>
      <c r="H131" s="2">
        <f>3+23/30</f>
        <v>3.7666666666666666</v>
      </c>
      <c r="I131" s="2">
        <v>3</v>
      </c>
      <c r="J131" s="2" t="s">
        <v>28</v>
      </c>
      <c r="K131" s="2" t="s">
        <v>294</v>
      </c>
      <c r="L131" s="2">
        <v>183</v>
      </c>
      <c r="M131" s="2">
        <v>100</v>
      </c>
      <c r="N131" s="2">
        <v>1</v>
      </c>
      <c r="O131" s="2">
        <v>2</v>
      </c>
      <c r="P131" s="2">
        <v>0</v>
      </c>
      <c r="R131" s="2">
        <v>0</v>
      </c>
      <c r="S131" s="2">
        <v>0</v>
      </c>
      <c r="T131" s="2">
        <v>1</v>
      </c>
      <c r="U131" s="2">
        <v>0</v>
      </c>
      <c r="W131" s="2">
        <v>2</v>
      </c>
      <c r="X131" s="2">
        <v>0</v>
      </c>
      <c r="Y131" s="2" t="s">
        <v>295</v>
      </c>
      <c r="Z131" s="2">
        <v>0</v>
      </c>
      <c r="AA131" t="s">
        <v>296</v>
      </c>
    </row>
    <row r="132" s="88" customFormat="1" ht="15.75" customHeight="1">
      <c r="A132" s="89">
        <v>131</v>
      </c>
      <c r="B132" s="89"/>
      <c r="C132" s="89"/>
      <c r="D132" s="89">
        <v>1</v>
      </c>
      <c r="E132" s="90">
        <v>45674</v>
      </c>
      <c r="F132" s="106">
        <v>45488</v>
      </c>
      <c r="G132" s="88"/>
      <c r="H132" s="88">
        <f>6+3/30</f>
        <v>6.0999999999999996</v>
      </c>
      <c r="I132" s="94">
        <v>6</v>
      </c>
      <c r="J132" s="88" t="s">
        <v>28</v>
      </c>
      <c r="K132" s="88" t="s">
        <v>297</v>
      </c>
      <c r="L132" s="88">
        <v>59</v>
      </c>
      <c r="M132" s="94">
        <v>0</v>
      </c>
      <c r="N132" s="94">
        <v>1</v>
      </c>
      <c r="O132" s="94">
        <v>1</v>
      </c>
      <c r="P132" s="88"/>
      <c r="Q132" s="88"/>
      <c r="R132" s="88"/>
      <c r="S132" s="88">
        <v>0</v>
      </c>
      <c r="T132" s="88">
        <v>1</v>
      </c>
      <c r="U132" s="88">
        <v>2</v>
      </c>
      <c r="V132" s="88">
        <v>0</v>
      </c>
      <c r="W132" s="88">
        <v>3</v>
      </c>
      <c r="X132" s="88">
        <v>0</v>
      </c>
      <c r="Y132" s="88" t="s">
        <v>298</v>
      </c>
      <c r="Z132" s="88">
        <v>0</v>
      </c>
      <c r="AA132" s="88" t="s">
        <v>244</v>
      </c>
      <c r="AB132" s="88"/>
      <c r="AC132" s="88"/>
      <c r="AD132" s="88"/>
      <c r="AE132" s="88"/>
      <c r="AF132" s="88"/>
      <c r="AG132" s="88"/>
    </row>
    <row r="133" s="107" customFormat="1" ht="15.75" hidden="1" customHeight="1">
      <c r="A133" s="108">
        <v>132</v>
      </c>
      <c r="B133" s="108"/>
      <c r="C133" s="108">
        <v>1</v>
      </c>
      <c r="D133" s="108"/>
      <c r="E133" s="109">
        <v>45677</v>
      </c>
      <c r="F133" s="107"/>
      <c r="G133" s="107"/>
      <c r="H133" s="107"/>
      <c r="I133" s="110">
        <v>6</v>
      </c>
      <c r="J133" s="110" t="s">
        <v>28</v>
      </c>
      <c r="K133" s="107"/>
      <c r="L133" s="107"/>
      <c r="M133" s="110">
        <v>0</v>
      </c>
      <c r="N133" s="110">
        <v>1</v>
      </c>
      <c r="O133" s="110">
        <v>1</v>
      </c>
      <c r="P133" s="107"/>
      <c r="Q133" s="107"/>
      <c r="R133" s="107"/>
      <c r="S133" s="107"/>
      <c r="T133" s="107"/>
      <c r="U133" s="107"/>
      <c r="V133" s="107"/>
      <c r="W133" s="107"/>
      <c r="X133" s="107"/>
      <c r="Y133" s="107"/>
      <c r="Z133" s="110">
        <v>0</v>
      </c>
      <c r="AA133" s="107" t="s">
        <v>299</v>
      </c>
      <c r="AB133" s="107"/>
      <c r="AC133" s="107"/>
      <c r="AD133" s="107"/>
      <c r="AE133" s="107"/>
      <c r="AF133" s="107"/>
      <c r="AG133" s="107"/>
    </row>
    <row r="134" ht="15.75" customHeight="1">
      <c r="A134" s="1">
        <v>133</v>
      </c>
      <c r="B134" s="1"/>
      <c r="C134" s="1"/>
      <c r="D134" s="1">
        <v>1</v>
      </c>
      <c r="E134" s="111">
        <v>45680</v>
      </c>
      <c r="F134" s="28">
        <v>45552</v>
      </c>
      <c r="G134" s="28">
        <v>46098</v>
      </c>
      <c r="H134" s="2">
        <f>4+6/30</f>
        <v>4.2000000000000002</v>
      </c>
      <c r="I134" s="2">
        <v>3</v>
      </c>
      <c r="J134" s="2" t="s">
        <v>28</v>
      </c>
      <c r="K134" s="2" t="s">
        <v>300</v>
      </c>
      <c r="L134" s="2">
        <v>159</v>
      </c>
      <c r="M134" s="2">
        <v>-100</v>
      </c>
      <c r="N134" s="2">
        <v>2</v>
      </c>
      <c r="O134" s="2">
        <v>2</v>
      </c>
      <c r="P134" s="2">
        <v>0</v>
      </c>
      <c r="R134" s="2" t="s">
        <v>301</v>
      </c>
      <c r="S134" s="2">
        <v>0</v>
      </c>
      <c r="T134" s="2">
        <v>1</v>
      </c>
      <c r="U134" s="2">
        <v>0</v>
      </c>
      <c r="W134" s="2">
        <v>1</v>
      </c>
      <c r="X134" s="2">
        <v>0</v>
      </c>
      <c r="Y134" s="2" t="s">
        <v>302</v>
      </c>
      <c r="Z134" s="2">
        <v>0</v>
      </c>
      <c r="AA134" t="s">
        <v>303</v>
      </c>
    </row>
    <row r="135" ht="15.75" customHeight="1">
      <c r="A135" s="1">
        <v>134</v>
      </c>
      <c r="B135" s="1"/>
      <c r="C135" s="1"/>
      <c r="D135" s="1">
        <v>1</v>
      </c>
      <c r="E135" s="27">
        <v>45684</v>
      </c>
      <c r="F135" s="28">
        <v>45573</v>
      </c>
      <c r="G135" s="28">
        <v>46120</v>
      </c>
      <c r="H135" s="2">
        <f>3+19/30</f>
        <v>3.6333333333333333</v>
      </c>
      <c r="I135" s="2">
        <v>3</v>
      </c>
      <c r="J135" s="2" t="s">
        <v>28</v>
      </c>
      <c r="K135" s="2" t="s">
        <v>304</v>
      </c>
      <c r="L135" s="2">
        <v>124</v>
      </c>
      <c r="M135" s="2">
        <v>-100</v>
      </c>
      <c r="N135" s="2">
        <v>1</v>
      </c>
      <c r="O135" s="2">
        <v>1</v>
      </c>
      <c r="P135" s="2">
        <v>0</v>
      </c>
      <c r="R135" s="2">
        <v>0</v>
      </c>
      <c r="S135" s="2">
        <v>1</v>
      </c>
      <c r="T135" s="2">
        <v>1</v>
      </c>
      <c r="U135" s="2">
        <v>1</v>
      </c>
      <c r="W135" s="2">
        <v>2</v>
      </c>
      <c r="X135" s="2" t="s">
        <v>305</v>
      </c>
      <c r="Y135" s="2" t="s">
        <v>306</v>
      </c>
      <c r="AA135" t="s">
        <v>307</v>
      </c>
    </row>
    <row r="136" s="107" customFormat="1" ht="15.75" hidden="1" customHeight="1">
      <c r="A136" s="108">
        <v>135</v>
      </c>
      <c r="B136" s="108"/>
      <c r="C136" s="108">
        <v>1</v>
      </c>
      <c r="D136" s="108"/>
      <c r="E136" s="109">
        <v>45692</v>
      </c>
      <c r="F136" s="107"/>
      <c r="G136" s="107"/>
      <c r="H136" s="107"/>
      <c r="I136" s="110">
        <v>3</v>
      </c>
      <c r="J136" s="110" t="s">
        <v>31</v>
      </c>
      <c r="K136" s="107"/>
      <c r="L136" s="107"/>
      <c r="M136" s="110">
        <v>100</v>
      </c>
      <c r="N136" s="110">
        <v>2</v>
      </c>
      <c r="O136" s="110">
        <v>1</v>
      </c>
      <c r="P136" s="110">
        <v>0</v>
      </c>
      <c r="Q136" s="107"/>
      <c r="R136" s="107"/>
      <c r="S136" s="107"/>
      <c r="T136" s="107"/>
      <c r="U136" s="107"/>
      <c r="V136" s="107"/>
      <c r="W136" s="107"/>
      <c r="X136" s="107"/>
      <c r="Y136" s="107"/>
      <c r="Z136" s="107"/>
      <c r="AA136" s="107" t="s">
        <v>308</v>
      </c>
      <c r="AB136" s="107"/>
      <c r="AC136" s="107"/>
      <c r="AD136" s="107"/>
      <c r="AE136" s="107"/>
      <c r="AF136" s="107"/>
      <c r="AG136" s="107"/>
    </row>
    <row r="137" s="107" customFormat="1" ht="15.75" hidden="1" customHeight="1">
      <c r="A137" s="108">
        <v>136</v>
      </c>
      <c r="B137" s="108"/>
      <c r="C137" s="108">
        <v>1</v>
      </c>
      <c r="D137" s="108"/>
      <c r="E137" s="109">
        <v>45695</v>
      </c>
      <c r="F137" s="107"/>
      <c r="G137" s="107"/>
      <c r="H137" s="107"/>
      <c r="I137" s="110">
        <v>3</v>
      </c>
      <c r="J137" s="110" t="s">
        <v>31</v>
      </c>
      <c r="K137" s="107"/>
      <c r="L137" s="107"/>
      <c r="M137" s="110">
        <v>0</v>
      </c>
      <c r="N137" s="107"/>
      <c r="O137" s="107"/>
      <c r="P137" s="107"/>
      <c r="Q137" s="107"/>
      <c r="R137" s="107"/>
      <c r="S137" s="107"/>
      <c r="T137" s="107"/>
      <c r="U137" s="107"/>
      <c r="V137" s="107"/>
      <c r="W137" s="107"/>
      <c r="X137" s="107"/>
      <c r="Y137" s="107"/>
      <c r="Z137" s="110">
        <v>0</v>
      </c>
      <c r="AA137" s="107" t="s">
        <v>309</v>
      </c>
      <c r="AB137" s="107"/>
      <c r="AC137" s="107"/>
      <c r="AD137" s="107"/>
      <c r="AE137" s="107"/>
      <c r="AF137" s="107"/>
      <c r="AG137" s="107"/>
    </row>
    <row r="138" s="13" customFormat="1" ht="15.75" hidden="1" customHeight="1">
      <c r="A138" s="14">
        <v>137</v>
      </c>
      <c r="B138" s="14"/>
      <c r="C138" s="14">
        <v>1</v>
      </c>
      <c r="D138" s="14"/>
      <c r="E138" s="26">
        <v>45698</v>
      </c>
      <c r="F138" s="13"/>
      <c r="G138" s="13"/>
      <c r="H138" s="13"/>
      <c r="I138" s="17">
        <v>3</v>
      </c>
      <c r="J138" s="17" t="s">
        <v>28</v>
      </c>
      <c r="K138" s="13"/>
      <c r="L138" s="13"/>
      <c r="M138" s="17">
        <v>100</v>
      </c>
      <c r="N138" s="17">
        <v>2</v>
      </c>
      <c r="O138" s="17">
        <v>1</v>
      </c>
      <c r="P138" s="17">
        <v>0</v>
      </c>
      <c r="Q138" s="13"/>
      <c r="R138" s="13"/>
      <c r="S138" s="13"/>
      <c r="T138" s="13"/>
      <c r="U138" s="13"/>
      <c r="V138" s="13"/>
      <c r="W138" s="13"/>
      <c r="X138" s="13"/>
      <c r="Y138" s="13"/>
      <c r="Z138" s="13"/>
      <c r="AA138" s="13" t="s">
        <v>310</v>
      </c>
      <c r="AB138" s="13"/>
      <c r="AC138" s="13"/>
      <c r="AD138" s="13"/>
      <c r="AE138" s="13"/>
      <c r="AF138" s="13"/>
      <c r="AG138" s="13"/>
    </row>
    <row r="139" s="13" customFormat="1" ht="15.75" hidden="1" customHeight="1">
      <c r="A139" s="14">
        <v>138</v>
      </c>
      <c r="B139" s="14"/>
      <c r="C139" s="14">
        <v>1</v>
      </c>
      <c r="D139" s="14"/>
      <c r="E139" s="26">
        <v>45698</v>
      </c>
      <c r="F139" s="13"/>
      <c r="G139" s="13"/>
      <c r="H139" s="13"/>
      <c r="I139" s="17">
        <v>3</v>
      </c>
      <c r="J139" s="17" t="s">
        <v>28</v>
      </c>
      <c r="K139" s="13"/>
      <c r="L139" s="13"/>
      <c r="M139" s="17">
        <v>100</v>
      </c>
      <c r="N139" s="17">
        <v>2</v>
      </c>
      <c r="O139" s="17">
        <v>1</v>
      </c>
      <c r="P139" s="17">
        <v>0</v>
      </c>
      <c r="Q139" s="13"/>
      <c r="R139" s="13"/>
      <c r="S139" s="13"/>
      <c r="T139" s="13"/>
      <c r="U139" s="13"/>
      <c r="V139" s="13"/>
      <c r="W139" s="13"/>
      <c r="X139" s="13"/>
      <c r="Y139" s="13"/>
      <c r="Z139" s="13"/>
      <c r="AA139" s="13" t="s">
        <v>311</v>
      </c>
      <c r="AB139" s="13"/>
      <c r="AC139" s="13"/>
      <c r="AD139" s="13"/>
      <c r="AE139" s="13"/>
      <c r="AF139" s="13"/>
      <c r="AG139" s="13"/>
    </row>
    <row r="140" s="13" customFormat="1" ht="15.75" hidden="1" customHeight="1">
      <c r="A140" s="14">
        <v>139</v>
      </c>
      <c r="B140" s="14"/>
      <c r="C140" s="14">
        <v>1</v>
      </c>
      <c r="D140" s="14"/>
      <c r="E140" s="26">
        <v>45699</v>
      </c>
      <c r="F140" s="13"/>
      <c r="G140" s="13"/>
      <c r="H140" s="13"/>
      <c r="I140" s="17">
        <v>3</v>
      </c>
      <c r="J140" s="17" t="s">
        <v>31</v>
      </c>
      <c r="K140" s="13"/>
      <c r="L140" s="13"/>
      <c r="M140" s="17">
        <v>100</v>
      </c>
      <c r="N140" s="17">
        <v>2</v>
      </c>
      <c r="O140" s="17">
        <v>1</v>
      </c>
      <c r="P140" s="17">
        <v>0</v>
      </c>
      <c r="Q140" s="13"/>
      <c r="R140" s="13"/>
      <c r="S140" s="13"/>
      <c r="T140" s="13"/>
      <c r="U140" s="13"/>
      <c r="V140" s="13"/>
      <c r="W140" s="13"/>
      <c r="X140" s="13"/>
      <c r="Y140" s="13"/>
      <c r="Z140" s="13"/>
      <c r="AA140" s="13" t="s">
        <v>312</v>
      </c>
      <c r="AB140" s="13"/>
      <c r="AC140" s="13"/>
      <c r="AD140" s="13"/>
      <c r="AE140" s="13"/>
      <c r="AF140" s="13"/>
      <c r="AG140" s="13"/>
    </row>
    <row r="141" s="71" customFormat="1" ht="15.75" hidden="1" customHeight="1">
      <c r="A141" s="67">
        <v>140</v>
      </c>
      <c r="B141" s="67">
        <v>1</v>
      </c>
      <c r="C141" s="67"/>
      <c r="D141" s="67"/>
      <c r="E141" s="69">
        <v>45700</v>
      </c>
      <c r="F141" s="71"/>
      <c r="G141" s="71"/>
      <c r="H141" s="71"/>
      <c r="I141" s="70">
        <v>3</v>
      </c>
      <c r="J141" s="70" t="s">
        <v>28</v>
      </c>
      <c r="K141" s="70"/>
      <c r="L141" s="71"/>
      <c r="M141" s="70">
        <v>100</v>
      </c>
      <c r="N141" s="70">
        <v>2</v>
      </c>
      <c r="O141" s="70">
        <v>1</v>
      </c>
      <c r="P141" s="70">
        <v>0</v>
      </c>
      <c r="Q141" s="71"/>
      <c r="R141" s="71"/>
      <c r="S141" s="70">
        <v>1</v>
      </c>
      <c r="T141" s="70">
        <v>1</v>
      </c>
      <c r="U141" s="70">
        <v>1</v>
      </c>
      <c r="V141" s="71"/>
      <c r="W141" s="70">
        <v>2</v>
      </c>
      <c r="X141" s="70">
        <v>0</v>
      </c>
      <c r="Y141" s="70" t="s">
        <v>313</v>
      </c>
      <c r="Z141" s="70">
        <v>0</v>
      </c>
      <c r="AA141" s="71" t="s">
        <v>314</v>
      </c>
      <c r="AB141" s="71"/>
      <c r="AC141" s="71"/>
      <c r="AD141" s="71"/>
      <c r="AE141" s="71"/>
      <c r="AF141" s="71"/>
      <c r="AG141" s="71"/>
    </row>
    <row r="142" s="112" customFormat="1" ht="15.75" customHeight="1">
      <c r="A142" s="113">
        <v>141</v>
      </c>
      <c r="B142" s="113"/>
      <c r="C142" s="113"/>
      <c r="D142" s="113">
        <v>1</v>
      </c>
      <c r="E142" s="114">
        <v>45701</v>
      </c>
      <c r="F142" s="115">
        <v>45581</v>
      </c>
      <c r="G142" s="116">
        <v>46128</v>
      </c>
      <c r="H142" s="112">
        <f>3+28/30</f>
        <v>3.9333333333333336</v>
      </c>
      <c r="I142" s="117">
        <v>3</v>
      </c>
      <c r="J142" s="117" t="s">
        <v>31</v>
      </c>
      <c r="K142" s="112" t="s">
        <v>315</v>
      </c>
      <c r="L142" s="112">
        <v>27</v>
      </c>
      <c r="M142" s="117">
        <v>0</v>
      </c>
      <c r="N142" s="117">
        <v>1</v>
      </c>
      <c r="O142" s="117">
        <v>1</v>
      </c>
      <c r="P142" s="117">
        <v>0</v>
      </c>
      <c r="Q142" s="112"/>
      <c r="R142" s="112"/>
      <c r="S142" s="117">
        <v>0</v>
      </c>
      <c r="T142" s="117">
        <v>1</v>
      </c>
      <c r="U142" s="117">
        <v>0</v>
      </c>
      <c r="V142" s="112"/>
      <c r="W142" s="117">
        <v>2</v>
      </c>
      <c r="X142" s="117">
        <v>0</v>
      </c>
      <c r="Y142" s="117" t="s">
        <v>316</v>
      </c>
      <c r="Z142" s="117">
        <v>0</v>
      </c>
      <c r="AA142" s="112" t="s">
        <v>317</v>
      </c>
      <c r="AB142" s="112"/>
      <c r="AC142" s="112"/>
      <c r="AD142" s="112"/>
      <c r="AE142" s="112"/>
      <c r="AF142" s="112"/>
      <c r="AG142" s="112"/>
    </row>
    <row r="143" s="112" customFormat="1" ht="15.75" customHeight="1">
      <c r="A143" s="113">
        <v>142</v>
      </c>
      <c r="B143" s="113"/>
      <c r="C143" s="113"/>
      <c r="D143" s="113">
        <v>1</v>
      </c>
      <c r="E143" s="114">
        <v>45712</v>
      </c>
      <c r="F143" s="118">
        <v>45604</v>
      </c>
      <c r="G143" s="116">
        <v>46150</v>
      </c>
      <c r="H143" s="112">
        <f>3+16/30</f>
        <v>3.5333333333333332</v>
      </c>
      <c r="I143" s="117">
        <v>3</v>
      </c>
      <c r="J143" s="117" t="s">
        <v>31</v>
      </c>
      <c r="K143" s="112" t="s">
        <v>160</v>
      </c>
      <c r="L143" s="112">
        <v>70</v>
      </c>
      <c r="M143" s="117">
        <v>0</v>
      </c>
      <c r="N143" s="117">
        <v>2</v>
      </c>
      <c r="O143" s="117">
        <v>2</v>
      </c>
      <c r="P143" s="117">
        <v>0</v>
      </c>
      <c r="Q143" s="112"/>
      <c r="R143" s="112"/>
      <c r="S143" s="117">
        <v>1</v>
      </c>
      <c r="T143" s="117">
        <v>1</v>
      </c>
      <c r="U143" s="117">
        <v>0</v>
      </c>
      <c r="V143" s="117"/>
      <c r="W143" s="117">
        <v>2</v>
      </c>
      <c r="X143" s="117">
        <v>0</v>
      </c>
      <c r="Y143" s="117" t="s">
        <v>318</v>
      </c>
      <c r="Z143" s="117">
        <v>0</v>
      </c>
      <c r="AA143" s="112" t="s">
        <v>319</v>
      </c>
      <c r="AB143" s="112"/>
      <c r="AC143" s="112"/>
      <c r="AD143" s="112"/>
      <c r="AE143" s="112"/>
      <c r="AF143" s="112"/>
      <c r="AG143" s="112"/>
    </row>
    <row r="144" s="112" customFormat="1" ht="15.75" customHeight="1">
      <c r="A144" s="113">
        <v>143</v>
      </c>
      <c r="B144" s="113"/>
      <c r="C144" s="113"/>
      <c r="D144" s="113">
        <v>1</v>
      </c>
      <c r="E144" s="114">
        <v>45719</v>
      </c>
      <c r="F144" s="115">
        <v>45600</v>
      </c>
      <c r="G144" s="116">
        <v>46146</v>
      </c>
      <c r="H144" s="112">
        <f t="shared" ref="H144:H145" si="0">3+27/30</f>
        <v>3.8999999999999999</v>
      </c>
      <c r="I144" s="117">
        <v>3</v>
      </c>
      <c r="J144" s="117" t="s">
        <v>28</v>
      </c>
      <c r="K144" s="119" t="s">
        <v>320</v>
      </c>
      <c r="L144" s="112">
        <v>62</v>
      </c>
      <c r="M144" s="117">
        <v>0</v>
      </c>
      <c r="N144" s="117">
        <v>1</v>
      </c>
      <c r="O144" s="117">
        <v>2</v>
      </c>
      <c r="P144" s="117">
        <v>0</v>
      </c>
      <c r="Q144" s="112"/>
      <c r="R144" s="112"/>
      <c r="S144" s="117">
        <v>1</v>
      </c>
      <c r="T144" s="117">
        <v>1</v>
      </c>
      <c r="U144" s="117">
        <v>1</v>
      </c>
      <c r="V144" s="117"/>
      <c r="W144" s="117">
        <v>2</v>
      </c>
      <c r="X144" s="117">
        <v>0</v>
      </c>
      <c r="Y144" s="117" t="s">
        <v>321</v>
      </c>
      <c r="Z144" s="117">
        <v>0</v>
      </c>
      <c r="AA144" s="112" t="s">
        <v>317</v>
      </c>
      <c r="AB144" s="112"/>
      <c r="AC144" s="112"/>
      <c r="AD144" s="112"/>
      <c r="AE144" s="112"/>
      <c r="AF144" s="112"/>
      <c r="AG144" s="112"/>
    </row>
    <row r="145" s="112" customFormat="1" ht="15.75" customHeight="1">
      <c r="A145" s="113">
        <v>144</v>
      </c>
      <c r="B145" s="113"/>
      <c r="C145" s="113"/>
      <c r="D145" s="113">
        <v>1</v>
      </c>
      <c r="E145" s="114">
        <v>45723</v>
      </c>
      <c r="F145" s="116">
        <v>45604</v>
      </c>
      <c r="G145" s="116">
        <v>46150</v>
      </c>
      <c r="H145" s="112">
        <f t="shared" si="0"/>
        <v>3.8999999999999999</v>
      </c>
      <c r="I145" s="117">
        <v>3</v>
      </c>
      <c r="J145" s="117" t="s">
        <v>28</v>
      </c>
      <c r="K145" s="112" t="s">
        <v>322</v>
      </c>
      <c r="L145" s="112">
        <v>63</v>
      </c>
      <c r="M145" s="117">
        <v>0</v>
      </c>
      <c r="N145" s="117">
        <v>1</v>
      </c>
      <c r="O145" s="117">
        <v>1</v>
      </c>
      <c r="P145" s="117">
        <v>0</v>
      </c>
      <c r="Q145" s="112"/>
      <c r="R145" s="112"/>
      <c r="S145" s="112">
        <v>0</v>
      </c>
      <c r="T145" s="112">
        <v>1</v>
      </c>
      <c r="U145" s="112">
        <v>1</v>
      </c>
      <c r="V145" s="112"/>
      <c r="W145" s="112">
        <v>2</v>
      </c>
      <c r="X145" s="112">
        <v>1</v>
      </c>
      <c r="Y145" s="112" t="s">
        <v>323</v>
      </c>
      <c r="Z145" s="117">
        <v>0</v>
      </c>
      <c r="AA145" s="112" t="s">
        <v>324</v>
      </c>
      <c r="AB145" s="112"/>
      <c r="AC145" s="112"/>
      <c r="AD145" s="112"/>
      <c r="AE145" s="112"/>
      <c r="AF145" s="112"/>
      <c r="AG145" s="112"/>
    </row>
    <row r="146" s="107" customFormat="1" ht="15.75" hidden="1" customHeight="1">
      <c r="A146" s="108">
        <v>145</v>
      </c>
      <c r="B146" s="108"/>
      <c r="C146" s="108">
        <v>1</v>
      </c>
      <c r="D146" s="108"/>
      <c r="E146" s="109">
        <v>45727</v>
      </c>
      <c r="F146" s="107"/>
      <c r="G146" s="107"/>
      <c r="H146" s="107"/>
      <c r="I146" s="110">
        <v>3</v>
      </c>
      <c r="J146" s="110" t="s">
        <v>31</v>
      </c>
      <c r="K146" s="107"/>
      <c r="L146" s="107"/>
      <c r="M146" s="110">
        <v>100</v>
      </c>
      <c r="N146" s="110">
        <v>2</v>
      </c>
      <c r="O146" s="110">
        <v>1</v>
      </c>
      <c r="P146" s="110">
        <v>0</v>
      </c>
      <c r="Q146" s="107"/>
      <c r="R146" s="107"/>
      <c r="S146" s="107"/>
      <c r="T146" s="107"/>
      <c r="U146" s="107"/>
      <c r="V146" s="107"/>
      <c r="W146" s="107"/>
      <c r="X146" s="107"/>
      <c r="Y146" s="107"/>
      <c r="Z146" s="107">
        <v>0</v>
      </c>
      <c r="AA146" s="107" t="s">
        <v>325</v>
      </c>
      <c r="AB146" s="107"/>
      <c r="AC146" s="107"/>
      <c r="AD146" s="107"/>
      <c r="AE146" s="107"/>
      <c r="AF146" s="107"/>
      <c r="AG146" s="107"/>
    </row>
    <row r="147" s="107" customFormat="1" ht="15.75" hidden="1" customHeight="1">
      <c r="A147" s="108">
        <v>146</v>
      </c>
      <c r="B147" s="108"/>
      <c r="C147" s="108">
        <v>1</v>
      </c>
      <c r="D147" s="108"/>
      <c r="E147" s="109">
        <v>45733</v>
      </c>
      <c r="F147" s="107"/>
      <c r="G147" s="107"/>
      <c r="H147" s="107"/>
      <c r="I147" s="110">
        <v>3</v>
      </c>
      <c r="J147" s="110" t="s">
        <v>31</v>
      </c>
      <c r="K147" s="107"/>
      <c r="L147" s="107"/>
      <c r="M147" s="110">
        <v>100</v>
      </c>
      <c r="N147" s="110">
        <v>2</v>
      </c>
      <c r="O147" s="110">
        <v>1</v>
      </c>
      <c r="P147" s="110">
        <v>0</v>
      </c>
      <c r="Q147" s="107"/>
      <c r="R147" s="107"/>
      <c r="S147" s="107"/>
      <c r="T147" s="107"/>
      <c r="U147" s="107"/>
      <c r="V147" s="107"/>
      <c r="W147" s="107"/>
      <c r="X147" s="107"/>
      <c r="Y147" s="107"/>
      <c r="Z147" s="107"/>
      <c r="AA147" s="107" t="s">
        <v>326</v>
      </c>
      <c r="AB147" s="107"/>
      <c r="AC147" s="107"/>
      <c r="AD147" s="107"/>
      <c r="AE147" s="107"/>
      <c r="AF147" s="107"/>
      <c r="AG147" s="107"/>
    </row>
    <row r="148" s="107" customFormat="1" ht="15.75" hidden="1" customHeight="1">
      <c r="A148" s="108">
        <v>147</v>
      </c>
      <c r="B148" s="108"/>
      <c r="C148" s="108">
        <v>1</v>
      </c>
      <c r="D148" s="108"/>
      <c r="E148" s="109">
        <v>45734</v>
      </c>
      <c r="F148" s="107"/>
      <c r="G148" s="107"/>
      <c r="H148" s="107"/>
      <c r="I148" s="110">
        <v>3</v>
      </c>
      <c r="J148" s="110" t="s">
        <v>31</v>
      </c>
      <c r="K148" s="107"/>
      <c r="L148" s="107"/>
      <c r="M148" s="110">
        <v>100</v>
      </c>
      <c r="N148" s="110">
        <v>2</v>
      </c>
      <c r="O148" s="110">
        <v>2</v>
      </c>
      <c r="P148" s="107">
        <v>0</v>
      </c>
      <c r="Q148" s="107"/>
      <c r="R148" s="107">
        <v>0</v>
      </c>
      <c r="S148" s="107"/>
      <c r="T148" s="107"/>
      <c r="U148" s="107"/>
      <c r="V148" s="107"/>
      <c r="W148" s="107"/>
      <c r="X148" s="107"/>
      <c r="Y148" s="107"/>
      <c r="Z148" s="107">
        <v>0</v>
      </c>
      <c r="AA148" s="107" t="s">
        <v>327</v>
      </c>
      <c r="AB148" s="107"/>
      <c r="AC148" s="107"/>
      <c r="AD148" s="107"/>
      <c r="AE148" s="107"/>
      <c r="AF148" s="107"/>
      <c r="AG148" s="107"/>
    </row>
    <row r="149" s="120" customFormat="1" ht="15.75" customHeight="1">
      <c r="A149" s="1">
        <v>148</v>
      </c>
      <c r="B149" s="1"/>
      <c r="C149" s="1"/>
      <c r="D149" s="1">
        <v>1</v>
      </c>
      <c r="E149" s="27">
        <v>45734</v>
      </c>
      <c r="F149" s="121">
        <v>45625</v>
      </c>
      <c r="G149" s="122">
        <v>46171</v>
      </c>
      <c r="H149" s="120">
        <f>3+18/30</f>
        <v>3.6000000000000001</v>
      </c>
      <c r="I149" s="2">
        <v>3</v>
      </c>
      <c r="J149" s="2" t="s">
        <v>28</v>
      </c>
      <c r="K149" s="2" t="s">
        <v>328</v>
      </c>
      <c r="L149" s="120">
        <v>250</v>
      </c>
      <c r="M149" s="2">
        <v>100</v>
      </c>
      <c r="N149" s="2">
        <v>2</v>
      </c>
      <c r="O149" s="2">
        <v>2</v>
      </c>
      <c r="P149" s="2">
        <v>0</v>
      </c>
      <c r="Q149" s="120"/>
      <c r="R149" s="120"/>
      <c r="S149" s="120"/>
      <c r="T149" s="120"/>
      <c r="U149" s="120"/>
      <c r="V149" s="120"/>
      <c r="W149" s="120"/>
      <c r="X149" s="120"/>
      <c r="Y149" s="120"/>
      <c r="Z149" s="120"/>
      <c r="AA149" s="120" t="s">
        <v>244</v>
      </c>
      <c r="AB149" s="120"/>
      <c r="AC149" s="120"/>
      <c r="AD149" s="120"/>
      <c r="AE149" s="120"/>
      <c r="AF149" s="120"/>
      <c r="AG149" s="120"/>
    </row>
    <row r="150" s="112" customFormat="1" ht="15.75" customHeight="1">
      <c r="A150" s="113">
        <v>149</v>
      </c>
      <c r="B150" s="113"/>
      <c r="C150" s="113"/>
      <c r="D150" s="113">
        <v>1</v>
      </c>
      <c r="E150" s="114">
        <v>45736</v>
      </c>
      <c r="F150" s="115">
        <v>45625</v>
      </c>
      <c r="G150" s="112"/>
      <c r="H150" s="112">
        <f>3+20/30</f>
        <v>3.6666666666666665</v>
      </c>
      <c r="I150" s="117">
        <v>3</v>
      </c>
      <c r="J150" s="117" t="s">
        <v>31</v>
      </c>
      <c r="K150" s="117" t="s">
        <v>329</v>
      </c>
      <c r="L150" s="112">
        <v>120</v>
      </c>
      <c r="M150" s="117">
        <v>0</v>
      </c>
      <c r="N150" s="117">
        <v>2</v>
      </c>
      <c r="O150" s="117">
        <v>1</v>
      </c>
      <c r="P150" s="117">
        <v>0</v>
      </c>
      <c r="Q150" s="112"/>
      <c r="R150" s="112"/>
      <c r="S150" s="112"/>
      <c r="T150" s="112"/>
      <c r="U150" s="112"/>
      <c r="V150" s="112"/>
      <c r="W150" s="112"/>
      <c r="X150" s="112"/>
      <c r="Y150" s="112"/>
      <c r="Z150" s="112">
        <v>0</v>
      </c>
      <c r="AB150" s="112"/>
      <c r="AC150" s="112"/>
      <c r="AD150" s="112"/>
      <c r="AE150" s="112"/>
      <c r="AF150" s="112"/>
      <c r="AG150" s="112"/>
    </row>
    <row r="151" s="112" customFormat="1" ht="15.75" customHeight="1">
      <c r="A151" s="113">
        <v>150</v>
      </c>
      <c r="B151" s="113"/>
      <c r="C151" s="113"/>
      <c r="D151" s="113">
        <v>1</v>
      </c>
      <c r="E151" s="114">
        <v>45742</v>
      </c>
      <c r="F151" s="116">
        <v>45627</v>
      </c>
      <c r="G151" s="112"/>
      <c r="H151" s="123">
        <f>3+25/30</f>
        <v>3.8333333333333335</v>
      </c>
      <c r="I151" s="117">
        <v>3</v>
      </c>
      <c r="J151" s="117" t="s">
        <v>31</v>
      </c>
      <c r="K151" s="117" t="s">
        <v>330</v>
      </c>
      <c r="L151" s="112">
        <v>199</v>
      </c>
      <c r="M151" s="117">
        <v>0</v>
      </c>
      <c r="N151" s="117">
        <v>2</v>
      </c>
      <c r="O151" s="117">
        <v>2</v>
      </c>
      <c r="P151" s="117">
        <v>0</v>
      </c>
      <c r="Q151" s="112"/>
      <c r="R151" s="112"/>
      <c r="S151" s="112"/>
      <c r="T151" s="112"/>
      <c r="U151" s="112"/>
      <c r="V151" s="112"/>
      <c r="W151" s="112"/>
      <c r="X151" s="112"/>
      <c r="Y151" s="112"/>
      <c r="Z151" s="112">
        <v>0</v>
      </c>
      <c r="AA151" s="112" t="s">
        <v>331</v>
      </c>
      <c r="AB151" s="112"/>
      <c r="AC151" s="112"/>
      <c r="AD151" s="112"/>
      <c r="AE151" s="112"/>
      <c r="AF151" s="112"/>
      <c r="AG151" s="112"/>
    </row>
    <row r="152" s="107" customFormat="1" ht="15.75" hidden="1" customHeight="1">
      <c r="A152" s="108">
        <v>151</v>
      </c>
      <c r="B152" s="108"/>
      <c r="C152" s="108">
        <v>1</v>
      </c>
      <c r="D152" s="108"/>
      <c r="E152" s="109">
        <v>45747</v>
      </c>
      <c r="F152" s="107"/>
      <c r="G152" s="107"/>
      <c r="H152" s="107"/>
      <c r="I152" s="110">
        <v>3</v>
      </c>
      <c r="J152" s="110" t="s">
        <v>28</v>
      </c>
      <c r="K152" s="107"/>
      <c r="L152" s="107"/>
      <c r="M152" s="110">
        <v>0</v>
      </c>
      <c r="N152" s="110">
        <v>2</v>
      </c>
      <c r="O152" s="110">
        <v>2</v>
      </c>
      <c r="P152" s="110">
        <v>0</v>
      </c>
      <c r="Q152" s="107"/>
      <c r="R152" s="107"/>
      <c r="S152" s="107"/>
      <c r="T152" s="107"/>
      <c r="U152" s="107"/>
      <c r="V152" s="107"/>
      <c r="W152" s="107"/>
      <c r="X152" s="107"/>
      <c r="Y152" s="107"/>
      <c r="Z152" s="107"/>
      <c r="AA152" s="107" t="s">
        <v>332</v>
      </c>
      <c r="AB152" s="107"/>
      <c r="AC152" s="107"/>
      <c r="AD152" s="107"/>
      <c r="AE152" s="107"/>
      <c r="AF152" s="107"/>
      <c r="AG152" s="107"/>
    </row>
    <row r="153" s="13" customFormat="1" ht="15.75" hidden="1" customHeight="1">
      <c r="A153" s="14">
        <v>152</v>
      </c>
      <c r="B153" s="14"/>
      <c r="C153" s="14">
        <v>1</v>
      </c>
      <c r="D153" s="14"/>
      <c r="E153" s="26">
        <v>45748</v>
      </c>
      <c r="F153" s="13"/>
      <c r="G153" s="13"/>
      <c r="H153" s="13"/>
      <c r="I153" s="17">
        <v>3</v>
      </c>
      <c r="J153" s="17" t="s">
        <v>28</v>
      </c>
      <c r="K153" s="13"/>
      <c r="L153" s="17"/>
      <c r="M153" s="17">
        <v>0</v>
      </c>
      <c r="N153" s="17">
        <v>2</v>
      </c>
      <c r="O153" s="17">
        <v>2</v>
      </c>
      <c r="P153" s="17">
        <v>0</v>
      </c>
      <c r="Q153" s="13"/>
      <c r="R153" s="13"/>
      <c r="S153" s="13"/>
      <c r="T153" s="13"/>
      <c r="U153" s="13"/>
      <c r="V153" s="13"/>
      <c r="W153" s="13"/>
      <c r="X153" s="13"/>
      <c r="Y153" s="13"/>
      <c r="Z153" s="13"/>
      <c r="AA153" s="13" t="s">
        <v>333</v>
      </c>
      <c r="AB153" s="13"/>
      <c r="AC153" s="13"/>
      <c r="AD153" s="13"/>
      <c r="AE153" s="13"/>
      <c r="AF153" s="13"/>
      <c r="AG153" s="13"/>
    </row>
    <row r="154" s="107" customFormat="1" ht="15.75" hidden="1" customHeight="1">
      <c r="A154" s="108">
        <v>153</v>
      </c>
      <c r="B154" s="108"/>
      <c r="C154" s="108">
        <v>1</v>
      </c>
      <c r="D154" s="108"/>
      <c r="E154" s="109">
        <v>45748</v>
      </c>
      <c r="F154" s="107"/>
      <c r="G154" s="107"/>
      <c r="H154" s="107"/>
      <c r="I154" s="110">
        <v>3</v>
      </c>
      <c r="J154" s="110" t="s">
        <v>31</v>
      </c>
      <c r="K154" s="107"/>
      <c r="L154" s="107"/>
      <c r="M154" s="110">
        <v>0</v>
      </c>
      <c r="N154" s="110">
        <v>2</v>
      </c>
      <c r="O154" s="110">
        <v>2</v>
      </c>
      <c r="P154" s="110">
        <v>0</v>
      </c>
      <c r="Q154" s="107"/>
      <c r="R154" s="107"/>
      <c r="S154" s="107"/>
      <c r="T154" s="107"/>
      <c r="U154" s="107"/>
      <c r="V154" s="107"/>
      <c r="W154" s="107"/>
      <c r="X154" s="107"/>
      <c r="Y154" s="107"/>
      <c r="Z154" s="107"/>
      <c r="AA154" s="107" t="s">
        <v>334</v>
      </c>
      <c r="AB154" s="107"/>
      <c r="AC154" s="107"/>
      <c r="AD154" s="107"/>
      <c r="AE154" s="107"/>
      <c r="AF154" s="107"/>
      <c r="AG154" s="107"/>
    </row>
    <row r="155" s="13" customFormat="1" ht="15.75" hidden="1" customHeight="1">
      <c r="A155" s="14">
        <v>154</v>
      </c>
      <c r="B155" s="14"/>
      <c r="C155" s="14">
        <v>1</v>
      </c>
      <c r="D155" s="14"/>
      <c r="E155" s="26">
        <v>45750</v>
      </c>
      <c r="F155" s="13"/>
      <c r="G155" s="13"/>
      <c r="H155" s="13"/>
      <c r="I155" s="17">
        <v>3</v>
      </c>
      <c r="J155" s="13" t="s">
        <v>31</v>
      </c>
      <c r="K155" s="13"/>
      <c r="L155" s="13"/>
      <c r="M155" s="17">
        <v>0</v>
      </c>
      <c r="N155" s="17">
        <v>2</v>
      </c>
      <c r="O155" s="17">
        <v>2</v>
      </c>
      <c r="P155" s="17">
        <v>0</v>
      </c>
      <c r="Q155" s="13"/>
      <c r="R155" s="13"/>
      <c r="S155" s="13"/>
      <c r="T155" s="13"/>
      <c r="U155" s="13"/>
      <c r="V155" s="13"/>
      <c r="W155" s="13"/>
      <c r="X155" s="13"/>
      <c r="Y155" s="13"/>
      <c r="Z155" s="13"/>
      <c r="AA155" s="13" t="s">
        <v>335</v>
      </c>
      <c r="AB155" s="13"/>
      <c r="AC155" s="13"/>
      <c r="AD155" s="13"/>
      <c r="AE155" s="13"/>
      <c r="AF155" s="13"/>
      <c r="AG155" s="13"/>
    </row>
    <row r="156" s="88" customFormat="1" ht="15.75" customHeight="1">
      <c r="A156" s="89">
        <v>155</v>
      </c>
      <c r="B156" s="89"/>
      <c r="C156" s="89"/>
      <c r="D156" s="89">
        <v>1</v>
      </c>
      <c r="E156" s="90">
        <v>45751</v>
      </c>
      <c r="F156" s="91">
        <v>45641</v>
      </c>
      <c r="G156" s="92">
        <v>46188</v>
      </c>
      <c r="H156" s="88">
        <f>3+20/30</f>
        <v>3.6666666666666665</v>
      </c>
      <c r="I156" s="94">
        <v>3</v>
      </c>
      <c r="J156" s="94" t="s">
        <v>28</v>
      </c>
      <c r="K156" s="88" t="s">
        <v>336</v>
      </c>
      <c r="L156" s="88">
        <v>95</v>
      </c>
      <c r="M156" s="94">
        <v>0</v>
      </c>
      <c r="N156" s="94">
        <v>1</v>
      </c>
      <c r="O156" s="94">
        <v>2</v>
      </c>
      <c r="P156" s="94">
        <v>0</v>
      </c>
      <c r="Q156" s="88"/>
      <c r="R156" s="88"/>
      <c r="S156" s="88">
        <v>1</v>
      </c>
      <c r="T156" s="88">
        <v>1</v>
      </c>
      <c r="U156" s="88">
        <v>1</v>
      </c>
      <c r="V156" s="88">
        <v>0</v>
      </c>
      <c r="W156" s="88">
        <v>2</v>
      </c>
      <c r="X156" s="88">
        <v>0</v>
      </c>
      <c r="Y156" s="88" t="s">
        <v>337</v>
      </c>
      <c r="Z156" s="88">
        <v>0</v>
      </c>
      <c r="AA156" s="88" t="s">
        <v>338</v>
      </c>
      <c r="AB156" s="88"/>
      <c r="AC156" s="88"/>
      <c r="AD156" s="88"/>
      <c r="AE156" s="88"/>
      <c r="AF156" s="88"/>
      <c r="AG156" s="88"/>
    </row>
    <row r="157" s="88" customFormat="1" ht="15.75" customHeight="1">
      <c r="A157" s="89">
        <v>156</v>
      </c>
      <c r="B157" s="89"/>
      <c r="C157" s="89"/>
      <c r="D157" s="89">
        <v>1</v>
      </c>
      <c r="E157" s="90">
        <v>45754</v>
      </c>
      <c r="F157" s="91">
        <v>45635</v>
      </c>
      <c r="G157" s="92">
        <v>46182</v>
      </c>
      <c r="H157" s="88">
        <f>3+28/30</f>
        <v>3.9333333333333336</v>
      </c>
      <c r="I157" s="94">
        <v>3</v>
      </c>
      <c r="J157" s="94" t="s">
        <v>28</v>
      </c>
      <c r="K157" s="88" t="s">
        <v>250</v>
      </c>
      <c r="L157" s="88">
        <v>45</v>
      </c>
      <c r="M157" s="88">
        <v>0</v>
      </c>
      <c r="N157" s="94">
        <v>2</v>
      </c>
      <c r="O157" s="94">
        <v>2</v>
      </c>
      <c r="P157" s="88">
        <v>0</v>
      </c>
      <c r="Q157" s="88"/>
      <c r="R157" s="88"/>
      <c r="S157" s="88">
        <v>1</v>
      </c>
      <c r="T157" s="88">
        <v>1</v>
      </c>
      <c r="U157" s="88">
        <v>0</v>
      </c>
      <c r="V157" s="88">
        <v>0</v>
      </c>
      <c r="W157" s="88">
        <v>2</v>
      </c>
      <c r="X157" s="88">
        <v>0</v>
      </c>
      <c r="Y157" s="88" t="s">
        <v>339</v>
      </c>
      <c r="Z157" s="88">
        <v>0</v>
      </c>
      <c r="AA157" s="88" t="s">
        <v>340</v>
      </c>
      <c r="AB157" s="88"/>
      <c r="AC157" s="88"/>
      <c r="AD157" s="88"/>
      <c r="AE157" s="88"/>
      <c r="AF157" s="88"/>
      <c r="AG157" s="88"/>
    </row>
    <row r="158" s="107" customFormat="1" ht="15.75" hidden="1" customHeight="1">
      <c r="A158" s="108">
        <v>157</v>
      </c>
      <c r="B158" s="108"/>
      <c r="C158" s="108">
        <v>1</v>
      </c>
      <c r="D158" s="108"/>
      <c r="E158" s="109">
        <v>45754</v>
      </c>
      <c r="F158" s="107"/>
      <c r="G158" s="107"/>
      <c r="H158" s="107"/>
      <c r="I158" s="110">
        <v>3</v>
      </c>
      <c r="J158" s="107" t="s">
        <v>31</v>
      </c>
      <c r="K158" s="107"/>
      <c r="L158" s="107"/>
      <c r="M158" s="110">
        <v>0</v>
      </c>
      <c r="N158" s="107"/>
      <c r="O158" s="107"/>
      <c r="P158" s="107"/>
      <c r="Q158" s="107"/>
      <c r="R158" s="107"/>
      <c r="S158" s="107"/>
      <c r="T158" s="107"/>
      <c r="U158" s="107"/>
      <c r="V158" s="107"/>
      <c r="W158" s="107"/>
      <c r="X158" s="107"/>
      <c r="Y158" s="107"/>
      <c r="Z158" s="107"/>
      <c r="AA158" s="107" t="s">
        <v>341</v>
      </c>
      <c r="AB158" s="107"/>
      <c r="AC158" s="107"/>
      <c r="AD158" s="107"/>
      <c r="AE158" s="107"/>
      <c r="AF158" s="107"/>
      <c r="AG158" s="107"/>
    </row>
    <row r="159" s="6" customFormat="1" ht="15.75" hidden="1" customHeight="1">
      <c r="A159" s="7">
        <v>158</v>
      </c>
      <c r="B159" s="7">
        <v>1</v>
      </c>
      <c r="C159" s="7"/>
      <c r="D159" s="7"/>
      <c r="E159" s="62">
        <v>45765</v>
      </c>
      <c r="F159" s="6"/>
      <c r="G159" s="6"/>
      <c r="H159" s="6"/>
      <c r="I159" s="10">
        <v>3</v>
      </c>
      <c r="J159" s="10" t="s">
        <v>31</v>
      </c>
      <c r="K159" s="6"/>
      <c r="L159" s="6"/>
      <c r="M159" s="10">
        <v>0</v>
      </c>
      <c r="N159" s="10">
        <v>2</v>
      </c>
      <c r="O159" s="10">
        <v>1</v>
      </c>
      <c r="P159" s="10">
        <v>0</v>
      </c>
      <c r="Q159" s="6"/>
      <c r="R159" s="6"/>
      <c r="S159" s="6"/>
      <c r="T159" s="6"/>
      <c r="U159" s="6"/>
      <c r="V159" s="6"/>
      <c r="W159" s="6"/>
      <c r="X159" s="6"/>
      <c r="Y159" s="6"/>
      <c r="Z159" s="6"/>
      <c r="AA159" s="6" t="s">
        <v>342</v>
      </c>
      <c r="AB159" s="6"/>
      <c r="AC159" s="6"/>
      <c r="AD159" s="6"/>
      <c r="AE159" s="6"/>
      <c r="AF159" s="6"/>
      <c r="AG159" s="6"/>
    </row>
    <row r="160" s="112" customFormat="1" ht="15.75" customHeight="1">
      <c r="A160" s="113">
        <v>159</v>
      </c>
      <c r="B160" s="113"/>
      <c r="C160" s="113"/>
      <c r="D160" s="113">
        <v>1</v>
      </c>
      <c r="E160" s="114">
        <v>45777</v>
      </c>
      <c r="F160" s="116">
        <v>45671</v>
      </c>
      <c r="G160" s="112"/>
      <c r="H160" s="112">
        <f>3+14/30</f>
        <v>3.4666666666666668</v>
      </c>
      <c r="I160" s="117">
        <v>3</v>
      </c>
      <c r="J160" s="117" t="s">
        <v>31</v>
      </c>
      <c r="K160" s="117" t="s">
        <v>343</v>
      </c>
      <c r="L160" s="112">
        <v>138</v>
      </c>
      <c r="M160" s="117">
        <v>0</v>
      </c>
      <c r="N160" s="117">
        <v>2</v>
      </c>
      <c r="O160" s="117">
        <v>1</v>
      </c>
      <c r="P160" s="117">
        <v>0</v>
      </c>
      <c r="Q160" s="112"/>
      <c r="R160" s="112"/>
      <c r="S160" s="112"/>
      <c r="T160" s="112"/>
      <c r="U160" s="112"/>
      <c r="V160" s="112"/>
      <c r="W160" s="112"/>
      <c r="X160" s="112"/>
      <c r="Y160" s="112"/>
      <c r="Z160" s="112">
        <v>0</v>
      </c>
      <c r="AB160" s="112"/>
      <c r="AC160" s="112"/>
      <c r="AD160" s="112"/>
      <c r="AE160" s="112"/>
      <c r="AF160" s="112"/>
      <c r="AG160" s="112"/>
    </row>
    <row r="161" s="112" customFormat="1" ht="15.75" customHeight="1">
      <c r="A161" s="113">
        <v>160</v>
      </c>
      <c r="B161" s="113"/>
      <c r="C161" s="113"/>
      <c r="D161" s="113">
        <v>1</v>
      </c>
      <c r="E161" s="114">
        <v>45782</v>
      </c>
      <c r="F161" s="116">
        <v>45667</v>
      </c>
      <c r="G161" s="112"/>
      <c r="H161" s="112">
        <f>3+25/30</f>
        <v>3.8333333333333335</v>
      </c>
      <c r="I161" s="117">
        <v>3</v>
      </c>
      <c r="J161" s="117" t="s">
        <v>31</v>
      </c>
      <c r="K161" s="124" t="s">
        <v>344</v>
      </c>
      <c r="L161" s="112">
        <v>446</v>
      </c>
      <c r="M161" s="112">
        <v>0</v>
      </c>
      <c r="N161" s="112">
        <v>2</v>
      </c>
      <c r="O161" s="112">
        <v>2</v>
      </c>
      <c r="P161" s="112">
        <v>0</v>
      </c>
      <c r="Q161" s="112"/>
      <c r="R161" s="112"/>
      <c r="S161" s="112"/>
      <c r="T161" s="112"/>
      <c r="U161" s="112"/>
      <c r="V161" s="112"/>
      <c r="W161" s="112"/>
      <c r="X161" s="112"/>
      <c r="Y161" s="112"/>
      <c r="Z161" s="112">
        <v>0</v>
      </c>
      <c r="AA161" s="112" t="s">
        <v>345</v>
      </c>
      <c r="AB161" s="112"/>
      <c r="AC161" s="112"/>
      <c r="AD161" s="112"/>
      <c r="AE161" s="112"/>
      <c r="AF161" s="112"/>
      <c r="AG161" s="112"/>
    </row>
    <row r="162" s="112" customFormat="1" ht="15.75" customHeight="1">
      <c r="A162" s="113">
        <v>161</v>
      </c>
      <c r="B162" s="113"/>
      <c r="C162" s="113"/>
      <c r="D162" s="113">
        <v>1</v>
      </c>
      <c r="E162" s="114">
        <v>45783</v>
      </c>
      <c r="F162" s="116">
        <v>45664</v>
      </c>
      <c r="G162" s="112"/>
      <c r="H162" s="112">
        <f>3+29/30</f>
        <v>3.9666666666666668</v>
      </c>
      <c r="I162" s="117">
        <v>3</v>
      </c>
      <c r="J162" s="117" t="s">
        <v>28</v>
      </c>
      <c r="K162" s="117" t="s">
        <v>239</v>
      </c>
      <c r="L162" s="117">
        <v>78</v>
      </c>
      <c r="M162" s="117">
        <v>0</v>
      </c>
      <c r="N162" s="117">
        <v>1</v>
      </c>
      <c r="O162" s="117">
        <v>1</v>
      </c>
      <c r="P162" s="117">
        <v>0</v>
      </c>
      <c r="Q162" s="112"/>
      <c r="R162" s="112"/>
      <c r="S162" s="112"/>
      <c r="T162" s="112"/>
      <c r="U162" s="112"/>
      <c r="V162" s="112"/>
      <c r="W162" s="112"/>
      <c r="X162" s="112"/>
      <c r="Y162" s="112"/>
      <c r="Z162" s="117">
        <v>0</v>
      </c>
      <c r="AA162" s="112" t="s">
        <v>346</v>
      </c>
      <c r="AB162" s="112"/>
      <c r="AC162" s="112"/>
      <c r="AD162" s="112"/>
      <c r="AE162" s="112"/>
      <c r="AF162" s="112"/>
      <c r="AG162" s="112"/>
    </row>
    <row r="163" s="107" customFormat="1" ht="15.75" hidden="1" customHeight="1">
      <c r="A163" s="108">
        <v>162</v>
      </c>
      <c r="B163" s="108"/>
      <c r="C163" s="108">
        <v>1</v>
      </c>
      <c r="D163" s="108"/>
      <c r="E163" s="109">
        <v>45783</v>
      </c>
      <c r="F163" s="107"/>
      <c r="G163" s="107"/>
      <c r="H163" s="107"/>
      <c r="I163" s="110">
        <v>3</v>
      </c>
      <c r="J163" s="110" t="s">
        <v>31</v>
      </c>
      <c r="K163" s="107"/>
      <c r="L163" s="107"/>
      <c r="M163" s="110">
        <v>0</v>
      </c>
      <c r="N163" s="110">
        <v>2</v>
      </c>
      <c r="O163" s="110">
        <v>1</v>
      </c>
      <c r="P163" s="110">
        <v>0</v>
      </c>
      <c r="Q163" s="107"/>
      <c r="R163" s="107"/>
      <c r="S163" s="107"/>
      <c r="T163" s="107"/>
      <c r="U163" s="107"/>
      <c r="V163" s="107"/>
      <c r="W163" s="107"/>
      <c r="X163" s="107"/>
      <c r="Y163" s="107"/>
      <c r="Z163" s="110">
        <v>0</v>
      </c>
      <c r="AB163" s="107"/>
      <c r="AC163" s="107"/>
      <c r="AD163" s="107"/>
      <c r="AE163" s="107"/>
      <c r="AF163" s="107"/>
      <c r="AG163" s="107"/>
    </row>
    <row r="164" s="112" customFormat="1" ht="15.75" customHeight="1">
      <c r="A164" s="113">
        <v>163</v>
      </c>
      <c r="B164" s="113"/>
      <c r="C164" s="113"/>
      <c r="D164" s="113">
        <v>1</v>
      </c>
      <c r="E164" s="114">
        <v>45783</v>
      </c>
      <c r="F164" s="116">
        <v>45675</v>
      </c>
      <c r="G164" s="112"/>
      <c r="H164" s="112">
        <f>3+17/30</f>
        <v>3.5666666666666664</v>
      </c>
      <c r="I164" s="117">
        <v>3</v>
      </c>
      <c r="J164" s="117" t="s">
        <v>28</v>
      </c>
      <c r="K164" s="117" t="s">
        <v>347</v>
      </c>
      <c r="L164" s="117">
        <v>38</v>
      </c>
      <c r="M164" s="117">
        <v>0</v>
      </c>
      <c r="N164" s="117">
        <v>2</v>
      </c>
      <c r="O164" s="117">
        <v>1</v>
      </c>
      <c r="P164" s="117">
        <v>0</v>
      </c>
      <c r="Q164" s="112"/>
      <c r="R164" s="112"/>
      <c r="S164" s="112"/>
      <c r="T164" s="112"/>
      <c r="U164" s="112"/>
      <c r="V164" s="112"/>
      <c r="W164" s="112"/>
      <c r="X164" s="112"/>
      <c r="Y164" s="112"/>
      <c r="Z164" s="117">
        <v>0</v>
      </c>
      <c r="AA164" s="112" t="s">
        <v>348</v>
      </c>
      <c r="AB164" s="112"/>
      <c r="AC164" s="112"/>
      <c r="AD164" s="112"/>
      <c r="AE164" s="112"/>
      <c r="AF164" s="112"/>
      <c r="AG164" s="112"/>
    </row>
    <row r="165" ht="15.75" customHeight="1">
      <c r="B165" s="1"/>
      <c r="C165" s="1"/>
      <c r="D165" s="1"/>
    </row>
    <row r="166" ht="15.75" customHeight="1">
      <c r="B166" s="1"/>
      <c r="C166" s="1"/>
      <c r="D166" s="1"/>
    </row>
    <row r="167" ht="15.75" customHeight="1">
      <c r="B167" s="1"/>
      <c r="C167" s="1"/>
      <c r="D167" s="1"/>
    </row>
    <row r="168" ht="15.75" customHeight="1">
      <c r="B168" s="1"/>
      <c r="C168" s="1"/>
      <c r="D168" s="1"/>
    </row>
    <row r="169" ht="15.75" customHeight="1">
      <c r="B169" s="1"/>
      <c r="C169" s="1"/>
      <c r="D169" s="1"/>
    </row>
    <row r="170" ht="15.75" customHeight="1">
      <c r="B170" s="1"/>
      <c r="C170" s="1"/>
      <c r="D170" s="1"/>
    </row>
    <row r="171" ht="15.75" customHeight="1">
      <c r="B171" s="1"/>
      <c r="C171" s="1"/>
      <c r="D171" s="1"/>
    </row>
    <row r="172" ht="15.75" customHeight="1">
      <c r="B172" s="1"/>
      <c r="C172" s="1"/>
      <c r="D172" s="1"/>
    </row>
    <row r="173" ht="15.75" customHeight="1">
      <c r="B173" s="1"/>
      <c r="C173" s="1"/>
      <c r="D173" s="1"/>
    </row>
    <row r="174" ht="15.75" customHeight="1">
      <c r="B174" s="1"/>
      <c r="C174" s="1"/>
      <c r="D174" s="1"/>
    </row>
    <row r="175" ht="15.75" customHeight="1">
      <c r="B175" s="1"/>
      <c r="C175" s="1"/>
      <c r="D175" s="1"/>
    </row>
    <row r="176" ht="15.75" customHeight="1">
      <c r="B176" s="1"/>
      <c r="C176" s="1"/>
      <c r="D176" s="1"/>
    </row>
    <row r="177" ht="15.75" customHeight="1">
      <c r="B177" s="1"/>
      <c r="C177" s="1"/>
      <c r="D177" s="1"/>
    </row>
    <row r="178" ht="15.75" customHeight="1">
      <c r="B178" s="1"/>
      <c r="C178" s="1"/>
      <c r="D178" s="1"/>
    </row>
    <row r="179" ht="15.75" customHeight="1">
      <c r="B179" s="1"/>
      <c r="C179" s="1"/>
      <c r="D179" s="1"/>
    </row>
    <row r="180" ht="15.75" customHeight="1">
      <c r="B180" s="1"/>
      <c r="C180" s="1"/>
      <c r="D180" s="1"/>
    </row>
    <row r="181" ht="15.75" customHeight="1">
      <c r="B181" s="1"/>
      <c r="C181" s="1"/>
      <c r="D181" s="1"/>
    </row>
    <row r="182" ht="15.75" customHeight="1">
      <c r="B182" s="1"/>
      <c r="C182" s="1"/>
      <c r="D182" s="1"/>
    </row>
    <row r="183" ht="15.75" customHeight="1">
      <c r="B183" s="1"/>
      <c r="C183" s="1"/>
      <c r="D183" s="1"/>
    </row>
    <row r="184" ht="15.75" customHeight="1">
      <c r="B184" s="1"/>
      <c r="C184" s="1"/>
      <c r="D184" s="1"/>
    </row>
    <row r="185" ht="15.75" customHeight="1">
      <c r="B185" s="1"/>
      <c r="C185" s="1"/>
      <c r="D185" s="1"/>
    </row>
    <row r="186" ht="15.75" customHeight="1">
      <c r="B186" s="1"/>
      <c r="C186" s="1"/>
      <c r="D186" s="1"/>
    </row>
    <row r="187" ht="15.75" customHeight="1">
      <c r="B187" s="1"/>
      <c r="C187" s="1"/>
      <c r="D187" s="1"/>
    </row>
    <row r="188" ht="15.75" customHeight="1">
      <c r="B188" s="1"/>
      <c r="C188" s="1"/>
      <c r="D188" s="1"/>
    </row>
    <row r="189" ht="15.75" customHeight="1">
      <c r="B189" s="1"/>
      <c r="C189" s="1"/>
      <c r="D189" s="1"/>
    </row>
    <row r="190" ht="15.75" customHeight="1">
      <c r="B190" s="1"/>
      <c r="C190" s="1"/>
      <c r="D190" s="1"/>
    </row>
    <row r="191" ht="15.75" customHeight="1">
      <c r="B191" s="1"/>
      <c r="C191" s="1"/>
      <c r="D191" s="1"/>
    </row>
    <row r="192" ht="15.75" customHeight="1">
      <c r="B192" s="1"/>
      <c r="C192" s="1"/>
      <c r="D192" s="1"/>
    </row>
    <row r="193" ht="15.75" customHeight="1">
      <c r="B193" s="1"/>
      <c r="C193" s="1"/>
      <c r="D193" s="1"/>
    </row>
    <row r="194" ht="15.75" customHeight="1">
      <c r="B194" s="1"/>
      <c r="C194" s="1"/>
      <c r="D194" s="1"/>
    </row>
    <row r="195" ht="15.75" customHeight="1">
      <c r="B195" s="1"/>
      <c r="C195" s="1"/>
      <c r="D195" s="1"/>
    </row>
    <row r="196" ht="15.75" customHeight="1">
      <c r="B196" s="1"/>
      <c r="C196" s="1"/>
      <c r="D196" s="1"/>
    </row>
    <row r="197" ht="15.75" customHeight="1">
      <c r="B197" s="1"/>
      <c r="C197" s="1"/>
      <c r="D197" s="1"/>
    </row>
    <row r="198" ht="15.75" customHeight="1">
      <c r="B198" s="1"/>
      <c r="C198" s="1"/>
      <c r="D198" s="1"/>
    </row>
    <row r="199" ht="15.75" customHeight="1">
      <c r="B199" s="1"/>
      <c r="C199" s="1"/>
      <c r="D199" s="1"/>
    </row>
    <row r="200" ht="15.75" customHeight="1">
      <c r="B200" s="1"/>
      <c r="C200" s="1"/>
      <c r="D200" s="1"/>
    </row>
    <row r="201" ht="15.75" customHeight="1">
      <c r="B201" s="1"/>
      <c r="C201" s="1"/>
      <c r="D201" s="1"/>
    </row>
    <row r="202" ht="15.75" customHeight="1">
      <c r="B202" s="1"/>
      <c r="C202" s="1"/>
      <c r="D202" s="1"/>
    </row>
    <row r="203" ht="15.75" customHeight="1">
      <c r="B203" s="1"/>
      <c r="C203" s="1"/>
      <c r="D203" s="1"/>
    </row>
    <row r="204" ht="15.75" customHeight="1">
      <c r="B204" s="1"/>
      <c r="C204" s="1"/>
      <c r="D204" s="1"/>
    </row>
    <row r="205" ht="15.75" customHeight="1">
      <c r="B205" s="1"/>
      <c r="C205" s="1"/>
      <c r="D205" s="1"/>
    </row>
    <row r="206" ht="15.75" customHeight="1">
      <c r="B206" s="1"/>
      <c r="C206" s="1"/>
      <c r="D206" s="1"/>
    </row>
    <row r="207" ht="15.75" customHeight="1">
      <c r="B207" s="1"/>
      <c r="C207" s="1"/>
      <c r="D207" s="1"/>
    </row>
    <row r="208" ht="15.75" customHeight="1">
      <c r="B208" s="1"/>
      <c r="C208" s="1"/>
      <c r="D208" s="1"/>
    </row>
    <row r="209" ht="15.75" customHeight="1">
      <c r="B209" s="1"/>
      <c r="C209" s="1"/>
      <c r="D209" s="1"/>
    </row>
    <row r="210" ht="15.75" customHeight="1">
      <c r="B210" s="1"/>
      <c r="C210" s="1"/>
      <c r="D210" s="1"/>
    </row>
    <row r="211" ht="15.75" customHeight="1">
      <c r="B211" s="1"/>
      <c r="C211" s="1"/>
      <c r="D211" s="1"/>
    </row>
    <row r="212" ht="15.75" customHeight="1">
      <c r="B212" s="1"/>
      <c r="C212" s="1"/>
      <c r="D212" s="1"/>
    </row>
    <row r="213" ht="15.75" customHeight="1">
      <c r="B213" s="1"/>
      <c r="C213" s="1"/>
      <c r="D213" s="1"/>
    </row>
    <row r="214" ht="15.75" customHeight="1">
      <c r="B214" s="1"/>
      <c r="C214" s="1"/>
      <c r="D214" s="1"/>
    </row>
    <row r="215" ht="15.75" customHeight="1">
      <c r="B215" s="1"/>
      <c r="C215" s="1"/>
      <c r="D215" s="1"/>
    </row>
    <row r="216" ht="15.75" customHeight="1">
      <c r="B216" s="1"/>
      <c r="C216" s="1"/>
      <c r="D216" s="1"/>
    </row>
    <row r="217" ht="15.75" customHeight="1">
      <c r="B217" s="1"/>
      <c r="C217" s="1"/>
      <c r="D217" s="1"/>
    </row>
    <row r="218" ht="15.75" customHeight="1">
      <c r="B218" s="1"/>
      <c r="C218" s="1"/>
      <c r="D218" s="1"/>
    </row>
    <row r="219" ht="15.75" customHeight="1">
      <c r="B219" s="1"/>
      <c r="C219" s="1"/>
      <c r="D219" s="1"/>
    </row>
    <row r="220" ht="15.75" customHeight="1">
      <c r="B220" s="1"/>
      <c r="C220" s="1"/>
      <c r="D220" s="1"/>
    </row>
    <row r="221" ht="15.75" customHeight="1">
      <c r="B221" s="1"/>
      <c r="C221" s="1"/>
      <c r="D221" s="1"/>
    </row>
    <row r="222" ht="15.75" customHeight="1">
      <c r="B222" s="1"/>
      <c r="C222" s="1"/>
      <c r="D222" s="1"/>
    </row>
    <row r="223" ht="15.75" customHeight="1">
      <c r="B223" s="1"/>
      <c r="C223" s="1"/>
      <c r="D223" s="1"/>
    </row>
    <row r="224" ht="15.75" customHeight="1">
      <c r="B224" s="1"/>
      <c r="C224" s="1"/>
      <c r="D224" s="1"/>
    </row>
    <row r="225" ht="15.75" customHeight="1">
      <c r="B225" s="1"/>
      <c r="C225" s="1"/>
      <c r="D225" s="1"/>
    </row>
    <row r="226" ht="15.75" customHeight="1">
      <c r="B226" s="1"/>
      <c r="C226" s="1"/>
      <c r="D226" s="1"/>
    </row>
    <row r="227" ht="15.75" customHeight="1">
      <c r="B227" s="1"/>
      <c r="C227" s="1"/>
      <c r="D227" s="1"/>
    </row>
    <row r="228" ht="15.75" customHeight="1">
      <c r="B228" s="1"/>
      <c r="C228" s="1"/>
      <c r="D228" s="1"/>
    </row>
    <row r="229" ht="15.75" customHeight="1">
      <c r="B229" s="1"/>
      <c r="C229" s="1"/>
      <c r="D229" s="1"/>
    </row>
    <row r="230" ht="15.75" customHeight="1">
      <c r="B230" s="1"/>
      <c r="C230" s="1"/>
      <c r="D230" s="1"/>
    </row>
    <row r="231" ht="15.75" customHeight="1">
      <c r="B231" s="1"/>
      <c r="C231" s="1"/>
      <c r="D231" s="1"/>
    </row>
    <row r="232" ht="15.75" customHeight="1">
      <c r="B232" s="1"/>
      <c r="C232" s="1"/>
      <c r="D232" s="1"/>
    </row>
    <row r="233" ht="15.75" customHeight="1">
      <c r="B233" s="1"/>
      <c r="C233" s="1"/>
      <c r="D233" s="1"/>
    </row>
    <row r="234" ht="15.75" customHeight="1">
      <c r="B234" s="1"/>
      <c r="C234" s="1"/>
      <c r="D234" s="1"/>
    </row>
    <row r="235" ht="15.75" customHeight="1">
      <c r="B235" s="1"/>
      <c r="C235" s="1"/>
      <c r="D235" s="1"/>
    </row>
    <row r="236" ht="15.75" customHeight="1">
      <c r="B236" s="1"/>
      <c r="C236" s="1"/>
      <c r="D236" s="1"/>
    </row>
    <row r="237" ht="15.75" customHeight="1">
      <c r="B237" s="1"/>
      <c r="C237" s="1"/>
      <c r="D237" s="1"/>
    </row>
    <row r="238" ht="15.75" customHeight="1">
      <c r="B238" s="1"/>
      <c r="C238" s="1"/>
      <c r="D238" s="1"/>
    </row>
    <row r="239" ht="15.75" customHeight="1">
      <c r="B239" s="1"/>
      <c r="C239" s="1"/>
      <c r="D239" s="1"/>
    </row>
    <row r="240" ht="15.75" customHeight="1">
      <c r="B240" s="1"/>
      <c r="C240" s="1"/>
      <c r="D240" s="1"/>
    </row>
    <row r="241" ht="15.75" customHeight="1">
      <c r="B241" s="1"/>
      <c r="C241" s="1"/>
      <c r="D241" s="1"/>
    </row>
    <row r="242" ht="15.75" customHeight="1">
      <c r="B242" s="1"/>
      <c r="C242" s="1"/>
      <c r="D242" s="1"/>
    </row>
    <row r="243" ht="15.75" customHeight="1">
      <c r="B243" s="1"/>
      <c r="C243" s="1"/>
      <c r="D243" s="1"/>
    </row>
    <row r="244" ht="15.75" customHeight="1">
      <c r="B244" s="1"/>
      <c r="C244" s="1"/>
      <c r="D244" s="1"/>
    </row>
    <row r="245" ht="15.75" customHeight="1">
      <c r="B245" s="1"/>
      <c r="C245" s="1"/>
      <c r="D245" s="1"/>
    </row>
    <row r="246" ht="15.75" customHeight="1">
      <c r="B246" s="1"/>
      <c r="C246" s="1"/>
      <c r="D246" s="1"/>
    </row>
    <row r="247" ht="15.75" customHeight="1">
      <c r="B247" s="1"/>
      <c r="C247" s="1"/>
      <c r="D247" s="1"/>
    </row>
    <row r="248" ht="15.75" customHeight="1">
      <c r="B248" s="1"/>
      <c r="C248" s="1"/>
      <c r="D248" s="1"/>
    </row>
    <row r="249" ht="15.75" customHeight="1">
      <c r="B249" s="1"/>
      <c r="C249" s="1"/>
      <c r="D249" s="1"/>
    </row>
    <row r="250" ht="15.75" customHeight="1">
      <c r="B250" s="1"/>
      <c r="C250" s="1"/>
      <c r="D250" s="1"/>
    </row>
    <row r="251" ht="15.75" customHeight="1">
      <c r="B251" s="1"/>
      <c r="C251" s="1"/>
      <c r="D251" s="1"/>
    </row>
    <row r="252" ht="15.75" customHeight="1">
      <c r="B252" s="1"/>
      <c r="C252" s="1"/>
      <c r="D252" s="1"/>
    </row>
    <row r="253" ht="15.75" customHeight="1">
      <c r="B253" s="1"/>
      <c r="C253" s="1"/>
      <c r="D253" s="1"/>
    </row>
    <row r="254" ht="15.75" customHeight="1">
      <c r="B254" s="1"/>
      <c r="C254" s="1"/>
      <c r="D254" s="1"/>
    </row>
    <row r="255" ht="15.75" customHeight="1">
      <c r="B255" s="1"/>
      <c r="C255" s="1"/>
      <c r="D255" s="1"/>
    </row>
    <row r="256" ht="15.75" customHeight="1">
      <c r="B256" s="1"/>
      <c r="C256" s="1"/>
      <c r="D256" s="1"/>
    </row>
    <row r="257" ht="15.75" customHeight="1">
      <c r="B257" s="1"/>
      <c r="C257" s="1"/>
      <c r="D257" s="1"/>
    </row>
    <row r="258" ht="15.75" customHeight="1">
      <c r="B258" s="1"/>
      <c r="C258" s="1"/>
      <c r="D258" s="1"/>
    </row>
    <row r="259" ht="15.75" customHeight="1">
      <c r="B259" s="1"/>
      <c r="C259" s="1"/>
      <c r="D259" s="1"/>
    </row>
    <row r="260" ht="15.75" customHeight="1">
      <c r="B260" s="1"/>
      <c r="C260" s="1"/>
      <c r="D260" s="1"/>
    </row>
    <row r="261" ht="15.75" customHeight="1">
      <c r="B261" s="1"/>
      <c r="C261" s="1"/>
      <c r="D261" s="1"/>
    </row>
    <row r="262" ht="15.75" customHeight="1">
      <c r="B262" s="1"/>
      <c r="C262" s="1"/>
      <c r="D262" s="1"/>
    </row>
    <row r="263" ht="15.75" customHeight="1">
      <c r="B263" s="1"/>
      <c r="C263" s="1"/>
      <c r="D263" s="1"/>
    </row>
    <row r="264" ht="15.75" customHeight="1">
      <c r="B264" s="1"/>
      <c r="C264" s="1"/>
      <c r="D264" s="1"/>
    </row>
    <row r="265" ht="15.75" customHeight="1">
      <c r="B265" s="1"/>
      <c r="C265" s="1"/>
      <c r="D265" s="1"/>
    </row>
    <row r="266" ht="15.75" customHeight="1">
      <c r="B266" s="1"/>
      <c r="C266" s="1"/>
      <c r="D266" s="1"/>
    </row>
    <row r="267" ht="15.75" customHeight="1">
      <c r="B267" s="1"/>
      <c r="C267" s="1"/>
      <c r="D267" s="1"/>
    </row>
    <row r="268" ht="15.75" customHeight="1">
      <c r="B268" s="1"/>
      <c r="C268" s="1"/>
      <c r="D268" s="1"/>
    </row>
    <row r="269" ht="15.75" customHeight="1">
      <c r="B269" s="1"/>
      <c r="C269" s="1"/>
      <c r="D269" s="1"/>
    </row>
    <row r="270" ht="15.75" customHeight="1">
      <c r="B270" s="1"/>
      <c r="C270" s="1"/>
      <c r="D270" s="1"/>
    </row>
    <row r="271" ht="15.75" customHeight="1">
      <c r="B271" s="1"/>
      <c r="C271" s="1"/>
      <c r="D271" s="1"/>
    </row>
    <row r="272" ht="15.75" customHeight="1">
      <c r="B272" s="1"/>
      <c r="C272" s="1"/>
      <c r="D272" s="1"/>
    </row>
    <row r="273" ht="15.75" customHeight="1">
      <c r="B273" s="1"/>
      <c r="C273" s="1"/>
      <c r="D273" s="1"/>
    </row>
    <row r="274" ht="15.75" customHeight="1">
      <c r="B274" s="1"/>
      <c r="C274" s="1"/>
      <c r="D274" s="1"/>
    </row>
    <row r="275" ht="15.75" customHeight="1">
      <c r="B275" s="1"/>
      <c r="C275" s="1"/>
      <c r="D275" s="1"/>
    </row>
    <row r="276" ht="15.75" customHeight="1">
      <c r="B276" s="1"/>
      <c r="C276" s="1"/>
      <c r="D276" s="1"/>
    </row>
    <row r="277" ht="15.75" customHeight="1">
      <c r="B277" s="1"/>
      <c r="C277" s="1"/>
      <c r="D277" s="1"/>
    </row>
    <row r="278" ht="15.75" customHeight="1">
      <c r="B278" s="1"/>
      <c r="C278" s="1"/>
      <c r="D278" s="1"/>
    </row>
    <row r="279" ht="15.75" customHeight="1">
      <c r="B279" s="1"/>
      <c r="C279" s="1"/>
      <c r="D279" s="1"/>
    </row>
    <row r="280" ht="15.75" customHeight="1">
      <c r="B280" s="1"/>
      <c r="C280" s="1"/>
      <c r="D280" s="1"/>
    </row>
    <row r="281" ht="15.75" customHeight="1">
      <c r="B281" s="1"/>
      <c r="C281" s="1"/>
      <c r="D281" s="1"/>
    </row>
    <row r="282" ht="15.75" customHeight="1">
      <c r="B282" s="1"/>
      <c r="C282" s="1"/>
      <c r="D282" s="1"/>
    </row>
    <row r="283" ht="15.75" customHeight="1">
      <c r="B283" s="1"/>
      <c r="C283" s="1"/>
      <c r="D283" s="1"/>
    </row>
    <row r="284" ht="15.75" customHeight="1">
      <c r="B284" s="1"/>
      <c r="C284" s="1"/>
      <c r="D284" s="1"/>
    </row>
    <row r="285" ht="15.75" customHeight="1">
      <c r="B285" s="1"/>
      <c r="C285" s="1"/>
      <c r="D285" s="1"/>
    </row>
    <row r="286" ht="15.75" customHeight="1">
      <c r="B286" s="1"/>
      <c r="C286" s="1"/>
      <c r="D286" s="1"/>
    </row>
    <row r="287" ht="15.75" customHeight="1">
      <c r="B287" s="1"/>
      <c r="C287" s="1"/>
      <c r="D287" s="1"/>
    </row>
    <row r="288" ht="15.75" customHeight="1">
      <c r="B288" s="1"/>
      <c r="C288" s="1"/>
      <c r="D288" s="1"/>
    </row>
    <row r="289" ht="15.75" customHeight="1">
      <c r="B289" s="1"/>
      <c r="C289" s="1"/>
      <c r="D289" s="1"/>
    </row>
    <row r="290" ht="15.75" customHeight="1">
      <c r="B290" s="1"/>
      <c r="C290" s="1"/>
      <c r="D290" s="1"/>
    </row>
    <row r="291" ht="15.75" customHeight="1">
      <c r="B291" s="1"/>
      <c r="C291" s="1"/>
      <c r="D291" s="1"/>
    </row>
    <row r="292" ht="15.75" customHeight="1">
      <c r="B292" s="1"/>
      <c r="C292" s="1"/>
      <c r="D292" s="1"/>
    </row>
    <row r="293" ht="15.75" customHeight="1">
      <c r="B293" s="1"/>
      <c r="C293" s="1"/>
      <c r="D293" s="1"/>
    </row>
    <row r="294" ht="15.75" customHeight="1">
      <c r="B294" s="1"/>
      <c r="C294" s="1"/>
      <c r="D294" s="1"/>
    </row>
    <row r="295" ht="15.75" customHeight="1">
      <c r="B295" s="1"/>
      <c r="C295" s="1"/>
      <c r="D295" s="1"/>
    </row>
    <row r="296" ht="15.75" customHeight="1">
      <c r="B296" s="1"/>
      <c r="C296" s="1"/>
      <c r="D296" s="1"/>
    </row>
    <row r="297" ht="15.75" customHeight="1">
      <c r="B297" s="1"/>
      <c r="C297" s="1"/>
      <c r="D297" s="1"/>
    </row>
    <row r="298" ht="15.75" customHeight="1">
      <c r="B298" s="1"/>
      <c r="C298" s="1"/>
      <c r="D298" s="1"/>
    </row>
    <row r="299" ht="15.75" customHeight="1">
      <c r="B299" s="1"/>
      <c r="C299" s="1"/>
      <c r="D299" s="1"/>
    </row>
    <row r="300" ht="15.75" customHeight="1">
      <c r="B300" s="1"/>
      <c r="C300" s="1"/>
      <c r="D300" s="1"/>
    </row>
    <row r="301" ht="15.75" customHeight="1">
      <c r="B301" s="1"/>
      <c r="C301" s="1"/>
      <c r="D301" s="1"/>
    </row>
    <row r="302" ht="15.75" customHeight="1">
      <c r="B302" s="1"/>
      <c r="C302" s="1"/>
      <c r="D302" s="1"/>
    </row>
    <row r="303" ht="15.75" customHeight="1">
      <c r="B303" s="1"/>
      <c r="C303" s="1"/>
      <c r="D303" s="1"/>
    </row>
    <row r="304" ht="15.75" customHeight="1">
      <c r="B304" s="1"/>
      <c r="C304" s="1"/>
      <c r="D304" s="1"/>
    </row>
    <row r="305" ht="15.75" customHeight="1">
      <c r="B305" s="1"/>
      <c r="C305" s="1"/>
      <c r="D305" s="1"/>
    </row>
    <row r="306" ht="15.75" customHeight="1">
      <c r="B306" s="1"/>
      <c r="C306" s="1"/>
      <c r="D306" s="1"/>
    </row>
    <row r="307" ht="15.75" customHeight="1">
      <c r="B307" s="1"/>
      <c r="C307" s="1"/>
      <c r="D307" s="1"/>
    </row>
    <row r="308" ht="15.75" customHeight="1">
      <c r="B308" s="1"/>
      <c r="C308" s="1"/>
      <c r="D308" s="1"/>
    </row>
    <row r="309" ht="15.75" customHeight="1">
      <c r="B309" s="1"/>
      <c r="C309" s="1"/>
      <c r="D309" s="1"/>
    </row>
    <row r="310" ht="15.75" customHeight="1">
      <c r="B310" s="1"/>
      <c r="C310" s="1"/>
      <c r="D310" s="1"/>
    </row>
    <row r="311" ht="15.75" customHeight="1">
      <c r="B311" s="1"/>
      <c r="C311" s="1"/>
      <c r="D311" s="1"/>
    </row>
    <row r="312" ht="15.75" customHeight="1">
      <c r="B312" s="1"/>
      <c r="C312" s="1"/>
      <c r="D312" s="1"/>
    </row>
    <row r="313" ht="15.75" customHeight="1">
      <c r="B313" s="1"/>
      <c r="C313" s="1"/>
      <c r="D313" s="1"/>
    </row>
    <row r="314" ht="15.75" customHeight="1">
      <c r="B314" s="1"/>
      <c r="C314" s="1"/>
      <c r="D314" s="1"/>
    </row>
    <row r="315" ht="15.75" customHeight="1">
      <c r="B315" s="1"/>
      <c r="C315" s="1"/>
      <c r="D315" s="1"/>
    </row>
    <row r="316" ht="15.75" customHeight="1">
      <c r="B316" s="1"/>
      <c r="C316" s="1"/>
      <c r="D316" s="1"/>
    </row>
    <row r="317" ht="15.75" customHeight="1">
      <c r="B317" s="1"/>
      <c r="C317" s="1"/>
      <c r="D317" s="1"/>
    </row>
    <row r="318" ht="15.75" customHeight="1">
      <c r="B318" s="1"/>
      <c r="C318" s="1"/>
      <c r="D318" s="1"/>
    </row>
    <row r="319" ht="15.75" customHeight="1">
      <c r="B319" s="1"/>
      <c r="C319" s="1"/>
      <c r="D319" s="1"/>
    </row>
    <row r="320" ht="15.75" customHeight="1">
      <c r="B320" s="1"/>
      <c r="C320" s="1"/>
      <c r="D320" s="1"/>
    </row>
    <row r="321" ht="15.75" customHeight="1">
      <c r="B321" s="1"/>
      <c r="C321" s="1"/>
      <c r="D321" s="1"/>
    </row>
    <row r="322" ht="15.75" customHeight="1">
      <c r="B322" s="1"/>
      <c r="C322" s="1"/>
      <c r="D322" s="1"/>
    </row>
    <row r="323" ht="15.75" customHeight="1">
      <c r="B323" s="1"/>
      <c r="C323" s="1"/>
      <c r="D323" s="1"/>
    </row>
    <row r="324" ht="15.75" customHeight="1">
      <c r="B324" s="1"/>
      <c r="C324" s="1"/>
      <c r="D324" s="1"/>
    </row>
    <row r="325" ht="15.75" customHeight="1">
      <c r="B325" s="1"/>
      <c r="C325" s="1"/>
      <c r="D325" s="1"/>
    </row>
    <row r="326" ht="15.75" customHeight="1">
      <c r="B326" s="1"/>
      <c r="C326" s="1"/>
      <c r="D326" s="1"/>
    </row>
    <row r="327" ht="15.75" customHeight="1">
      <c r="B327" s="1"/>
      <c r="C327" s="1"/>
      <c r="D327" s="1"/>
    </row>
    <row r="328" ht="15.75" customHeight="1">
      <c r="B328" s="1"/>
      <c r="C328" s="1"/>
      <c r="D328" s="1"/>
    </row>
    <row r="329" ht="15.75" customHeight="1">
      <c r="B329" s="1"/>
      <c r="C329" s="1"/>
      <c r="D329" s="1"/>
    </row>
    <row r="330" ht="15.75" customHeight="1">
      <c r="B330" s="1"/>
      <c r="C330" s="1"/>
      <c r="D330" s="1"/>
    </row>
    <row r="331" ht="15.75" customHeight="1">
      <c r="B331" s="1"/>
      <c r="C331" s="1"/>
      <c r="D331" s="1"/>
    </row>
    <row r="332" ht="15.75" customHeight="1">
      <c r="B332" s="1"/>
      <c r="C332" s="1"/>
      <c r="D332" s="1"/>
    </row>
    <row r="333" ht="15.75" customHeight="1">
      <c r="B333" s="1"/>
      <c r="C333" s="1"/>
      <c r="D333" s="1"/>
    </row>
    <row r="334" ht="15.75" customHeight="1">
      <c r="B334" s="1"/>
      <c r="C334" s="1"/>
      <c r="D334" s="1"/>
    </row>
    <row r="335" ht="15.75" customHeight="1">
      <c r="B335" s="1"/>
      <c r="C335" s="1"/>
      <c r="D335" s="1"/>
    </row>
    <row r="336" ht="15.75" customHeight="1">
      <c r="B336" s="1"/>
      <c r="C336" s="1"/>
      <c r="D336" s="1"/>
    </row>
    <row r="337" ht="15.75" customHeight="1">
      <c r="B337" s="1"/>
      <c r="C337" s="1"/>
      <c r="D337" s="1"/>
    </row>
    <row r="338" ht="15.75" customHeight="1">
      <c r="B338" s="1"/>
      <c r="C338" s="1"/>
      <c r="D338" s="1"/>
    </row>
    <row r="339" ht="15.75" customHeight="1">
      <c r="B339" s="1"/>
      <c r="C339" s="1"/>
      <c r="D339" s="1"/>
    </row>
    <row r="340" ht="15.75" customHeight="1">
      <c r="B340" s="1"/>
      <c r="C340" s="1"/>
      <c r="D340" s="1"/>
    </row>
    <row r="341" ht="15.75" customHeight="1">
      <c r="B341" s="1"/>
      <c r="C341" s="1"/>
      <c r="D341" s="1"/>
    </row>
    <row r="342" ht="15.75" customHeight="1">
      <c r="B342" s="1"/>
      <c r="C342" s="1"/>
      <c r="D342" s="1"/>
    </row>
    <row r="343" ht="15.75" customHeight="1">
      <c r="B343" s="1"/>
      <c r="C343" s="1"/>
      <c r="D343" s="1"/>
    </row>
    <row r="344" ht="15.75" customHeight="1">
      <c r="B344" s="1"/>
      <c r="C344" s="1"/>
      <c r="D344" s="1"/>
    </row>
    <row r="345" ht="15.75" customHeight="1">
      <c r="B345" s="1"/>
      <c r="C345" s="1"/>
      <c r="D345" s="1"/>
    </row>
    <row r="346" ht="15.75" customHeight="1">
      <c r="B346" s="1"/>
      <c r="C346" s="1"/>
      <c r="D346" s="1"/>
    </row>
    <row r="347" ht="15.75" customHeight="1">
      <c r="B347" s="1"/>
      <c r="C347" s="1"/>
      <c r="D347" s="1"/>
    </row>
    <row r="348" ht="15.75" customHeight="1">
      <c r="B348" s="1"/>
      <c r="C348" s="1"/>
      <c r="D348" s="1"/>
    </row>
    <row r="349" ht="15.75" customHeight="1">
      <c r="B349" s="1"/>
      <c r="C349" s="1"/>
      <c r="D349" s="1"/>
    </row>
    <row r="350" ht="15.75" customHeight="1">
      <c r="B350" s="1"/>
      <c r="C350" s="1"/>
      <c r="D350" s="1"/>
    </row>
    <row r="351" ht="15.75" customHeight="1">
      <c r="B351" s="1"/>
      <c r="C351" s="1"/>
      <c r="D351" s="1"/>
    </row>
    <row r="352" ht="15.75" customHeight="1">
      <c r="B352" s="1"/>
      <c r="C352" s="1"/>
      <c r="D352" s="1"/>
    </row>
    <row r="353" ht="15.75" customHeight="1">
      <c r="B353" s="1"/>
      <c r="C353" s="1"/>
      <c r="D353" s="1"/>
    </row>
    <row r="354" ht="15.75" customHeight="1">
      <c r="B354" s="1"/>
      <c r="C354" s="1"/>
      <c r="D354" s="1"/>
    </row>
    <row r="355" ht="15.75" customHeight="1">
      <c r="B355" s="1"/>
      <c r="C355" s="1"/>
      <c r="D355" s="1"/>
    </row>
    <row r="356" ht="15.75" customHeight="1">
      <c r="B356" s="1"/>
      <c r="C356" s="1"/>
      <c r="D356" s="1"/>
    </row>
    <row r="357" ht="15.75" customHeight="1">
      <c r="B357" s="1"/>
      <c r="C357" s="1"/>
      <c r="D357" s="1"/>
    </row>
    <row r="358" ht="15.75" customHeight="1">
      <c r="B358" s="1"/>
      <c r="C358" s="1"/>
      <c r="D358" s="1"/>
    </row>
    <row r="359" ht="15.75" customHeight="1">
      <c r="B359" s="1"/>
      <c r="C359" s="1"/>
      <c r="D359" s="1"/>
    </row>
    <row r="360" ht="15.75" customHeight="1">
      <c r="B360" s="1"/>
      <c r="C360" s="1"/>
      <c r="D360" s="1"/>
    </row>
    <row r="361" ht="15.75" customHeight="1">
      <c r="B361" s="1"/>
      <c r="C361" s="1"/>
      <c r="D361" s="1"/>
    </row>
    <row r="362" ht="15.75" customHeight="1">
      <c r="B362" s="1"/>
      <c r="C362" s="1"/>
      <c r="D362" s="1"/>
    </row>
    <row r="363" ht="15.75" customHeight="1">
      <c r="B363" s="1"/>
      <c r="C363" s="1"/>
      <c r="D363" s="1"/>
    </row>
    <row r="364" ht="15.75" customHeight="1">
      <c r="B364" s="1"/>
      <c r="C364" s="1"/>
      <c r="D364" s="1"/>
    </row>
    <row r="365" ht="15.75" customHeight="1">
      <c r="B365" s="1"/>
      <c r="C365" s="1"/>
      <c r="D365" s="1"/>
    </row>
    <row r="366" ht="15.75" customHeight="1">
      <c r="B366" s="1"/>
      <c r="C366" s="1"/>
      <c r="D366" s="1"/>
    </row>
    <row r="367" ht="15.75" customHeight="1">
      <c r="B367" s="1"/>
      <c r="C367" s="1"/>
      <c r="D367" s="1"/>
    </row>
    <row r="368" ht="15.75" customHeight="1">
      <c r="B368" s="1"/>
      <c r="C368" s="1"/>
      <c r="D368" s="1"/>
    </row>
    <row r="369" ht="15.75" customHeight="1">
      <c r="B369" s="1"/>
      <c r="C369" s="1"/>
      <c r="D369" s="1"/>
    </row>
    <row r="370" ht="15.75" customHeight="1">
      <c r="B370" s="1"/>
      <c r="C370" s="1"/>
      <c r="D370" s="1"/>
    </row>
    <row r="371" ht="15.75" customHeight="1">
      <c r="B371" s="1"/>
      <c r="C371" s="1"/>
      <c r="D371" s="1"/>
    </row>
    <row r="372" ht="15.75" customHeight="1">
      <c r="B372" s="1"/>
      <c r="C372" s="1"/>
      <c r="D372" s="1"/>
    </row>
    <row r="373" ht="15.75" customHeight="1">
      <c r="B373" s="1"/>
      <c r="C373" s="1"/>
      <c r="D373" s="1"/>
    </row>
    <row r="374" ht="15.75" customHeight="1">
      <c r="B374" s="1"/>
      <c r="C374" s="1"/>
      <c r="D374" s="1"/>
    </row>
    <row r="375" ht="15.75" customHeight="1">
      <c r="B375" s="1"/>
      <c r="C375" s="1"/>
      <c r="D375" s="1"/>
    </row>
    <row r="376" ht="15.75" customHeight="1">
      <c r="B376" s="1"/>
      <c r="C376" s="1"/>
      <c r="D376" s="1"/>
    </row>
    <row r="377" ht="15.75" customHeight="1">
      <c r="B377" s="1"/>
      <c r="C377" s="1"/>
      <c r="D377" s="1"/>
    </row>
    <row r="378" ht="15.75" customHeight="1">
      <c r="B378" s="1"/>
      <c r="C378" s="1"/>
      <c r="D378" s="1"/>
    </row>
    <row r="379" ht="15.75" customHeight="1">
      <c r="B379" s="1"/>
      <c r="C379" s="1"/>
      <c r="D379" s="1"/>
    </row>
    <row r="380" ht="15.75" customHeight="1">
      <c r="B380" s="1"/>
      <c r="C380" s="1"/>
      <c r="D380" s="1"/>
    </row>
    <row r="381" ht="15.75" customHeight="1">
      <c r="B381" s="1"/>
      <c r="C381" s="1"/>
      <c r="D381" s="1"/>
    </row>
    <row r="382" ht="15.75" customHeight="1">
      <c r="B382" s="1"/>
      <c r="C382" s="1"/>
      <c r="D382" s="1"/>
    </row>
    <row r="383" ht="15.75" customHeight="1">
      <c r="B383" s="1"/>
      <c r="C383" s="1"/>
      <c r="D383" s="1"/>
    </row>
    <row r="384" ht="15.75" customHeight="1">
      <c r="B384" s="1"/>
      <c r="C384" s="1"/>
      <c r="D384" s="1"/>
    </row>
    <row r="385" ht="15.75" customHeight="1">
      <c r="B385" s="1"/>
      <c r="C385" s="1"/>
      <c r="D385" s="1"/>
    </row>
    <row r="386" ht="15.75" customHeight="1">
      <c r="B386" s="1"/>
      <c r="C386" s="1"/>
      <c r="D386" s="1"/>
    </row>
    <row r="387" ht="15.75" customHeight="1">
      <c r="B387" s="1"/>
      <c r="C387" s="1"/>
      <c r="D387" s="1"/>
    </row>
    <row r="388" ht="15.75" customHeight="1">
      <c r="B388" s="1"/>
      <c r="C388" s="1"/>
      <c r="D388" s="1"/>
    </row>
    <row r="389" ht="15.75" customHeight="1">
      <c r="B389" s="1"/>
      <c r="C389" s="1"/>
      <c r="D389" s="1"/>
    </row>
    <row r="390" ht="15.75" customHeight="1">
      <c r="B390" s="1"/>
      <c r="C390" s="1"/>
      <c r="D390" s="1"/>
    </row>
    <row r="391" ht="15.75" customHeight="1">
      <c r="B391" s="1"/>
      <c r="C391" s="1"/>
      <c r="D391" s="1"/>
    </row>
    <row r="392" ht="15.75" customHeight="1">
      <c r="B392" s="1"/>
      <c r="C392" s="1"/>
      <c r="D392" s="1"/>
    </row>
    <row r="393" ht="15.75" customHeight="1">
      <c r="B393" s="1"/>
      <c r="C393" s="1"/>
      <c r="D393" s="1"/>
    </row>
    <row r="394" ht="15.75" customHeight="1">
      <c r="B394" s="1"/>
      <c r="C394" s="1"/>
      <c r="D394" s="1"/>
    </row>
    <row r="395" ht="15.75" customHeight="1">
      <c r="B395" s="1"/>
      <c r="C395" s="1"/>
      <c r="D395" s="1"/>
    </row>
    <row r="396" ht="15.75" customHeight="1">
      <c r="B396" s="1"/>
      <c r="C396" s="1"/>
      <c r="D396" s="1"/>
    </row>
    <row r="397" ht="15.75" customHeight="1">
      <c r="B397" s="1"/>
      <c r="C397" s="1"/>
      <c r="D397" s="1"/>
    </row>
    <row r="398" ht="15.75" customHeight="1">
      <c r="B398" s="1"/>
      <c r="C398" s="1"/>
      <c r="D398" s="1"/>
    </row>
    <row r="399" ht="15.75" customHeight="1">
      <c r="B399" s="1"/>
      <c r="C399" s="1"/>
      <c r="D399" s="1"/>
    </row>
    <row r="400" ht="15.75" customHeight="1">
      <c r="B400" s="1"/>
      <c r="C400" s="1"/>
      <c r="D400" s="1"/>
    </row>
    <row r="401" ht="15.75" customHeight="1">
      <c r="B401" s="1"/>
      <c r="C401" s="1"/>
      <c r="D401" s="1"/>
    </row>
    <row r="402" ht="15.75" customHeight="1">
      <c r="B402" s="1"/>
      <c r="C402" s="1"/>
      <c r="D402" s="1"/>
    </row>
    <row r="403" ht="15.75" customHeight="1">
      <c r="B403" s="1"/>
      <c r="C403" s="1"/>
      <c r="D403" s="1"/>
    </row>
    <row r="404" ht="15.75" customHeight="1">
      <c r="B404" s="1"/>
      <c r="C404" s="1"/>
      <c r="D404" s="1"/>
    </row>
    <row r="405" ht="15.75" customHeight="1">
      <c r="B405" s="1"/>
      <c r="C405" s="1"/>
      <c r="D405" s="1"/>
    </row>
    <row r="406" ht="15.75" customHeight="1">
      <c r="B406" s="1"/>
      <c r="C406" s="1"/>
      <c r="D406" s="1"/>
    </row>
    <row r="407" ht="15.75" customHeight="1">
      <c r="B407" s="1"/>
      <c r="C407" s="1"/>
      <c r="D407" s="1"/>
    </row>
    <row r="408" ht="15.75" customHeight="1">
      <c r="B408" s="1"/>
      <c r="C408" s="1"/>
      <c r="D408" s="1"/>
    </row>
    <row r="409" ht="15.75" customHeight="1">
      <c r="B409" s="1"/>
      <c r="C409" s="1"/>
      <c r="D409" s="1"/>
    </row>
    <row r="410" ht="15.75" customHeight="1">
      <c r="B410" s="1"/>
      <c r="C410" s="1"/>
      <c r="D410" s="1"/>
    </row>
    <row r="411" ht="15.75" customHeight="1">
      <c r="B411" s="1"/>
      <c r="C411" s="1"/>
      <c r="D411" s="1"/>
    </row>
    <row r="412" ht="15.75" customHeight="1">
      <c r="B412" s="1"/>
      <c r="C412" s="1"/>
      <c r="D412" s="1"/>
    </row>
    <row r="413" ht="15.75" customHeight="1">
      <c r="B413" s="1"/>
      <c r="C413" s="1"/>
      <c r="D413" s="1"/>
    </row>
    <row r="414" ht="15.75" customHeight="1">
      <c r="B414" s="1"/>
      <c r="C414" s="1"/>
      <c r="D414" s="1"/>
    </row>
    <row r="415" ht="15.75" customHeight="1">
      <c r="B415" s="1"/>
      <c r="C415" s="1"/>
      <c r="D415" s="1"/>
    </row>
    <row r="416" ht="15.75" customHeight="1">
      <c r="B416" s="1"/>
      <c r="C416" s="1"/>
      <c r="D416" s="1"/>
    </row>
    <row r="417" ht="15.75" customHeight="1">
      <c r="B417" s="1"/>
      <c r="C417" s="1"/>
      <c r="D417" s="1"/>
    </row>
    <row r="418" ht="15.75" customHeight="1">
      <c r="B418" s="1"/>
      <c r="C418" s="1"/>
      <c r="D418" s="1"/>
    </row>
    <row r="419" ht="15.75" customHeight="1">
      <c r="B419" s="1"/>
      <c r="C419" s="1"/>
      <c r="D419" s="1"/>
    </row>
    <row r="420" ht="15.75" customHeight="1">
      <c r="B420" s="1"/>
      <c r="C420" s="1"/>
      <c r="D420" s="1"/>
    </row>
    <row r="421" ht="15.75" customHeight="1">
      <c r="B421" s="1"/>
      <c r="C421" s="1"/>
      <c r="D421" s="1"/>
    </row>
    <row r="422" ht="15.75" customHeight="1">
      <c r="B422" s="1"/>
      <c r="C422" s="1"/>
      <c r="D422" s="1"/>
    </row>
    <row r="423" ht="15.75" customHeight="1">
      <c r="B423" s="1"/>
      <c r="C423" s="1"/>
      <c r="D423" s="1"/>
    </row>
    <row r="424" ht="15.75" customHeight="1">
      <c r="B424" s="1"/>
      <c r="C424" s="1"/>
      <c r="D424" s="1"/>
    </row>
    <row r="425" ht="15.75" customHeight="1">
      <c r="B425" s="1"/>
      <c r="C425" s="1"/>
      <c r="D425" s="1"/>
    </row>
    <row r="426" ht="15.75" customHeight="1">
      <c r="B426" s="1"/>
      <c r="C426" s="1"/>
      <c r="D426" s="1"/>
    </row>
    <row r="427" ht="15.75" customHeight="1">
      <c r="B427" s="1"/>
      <c r="C427" s="1"/>
      <c r="D427" s="1"/>
    </row>
    <row r="428" ht="15.75" customHeight="1">
      <c r="B428" s="1"/>
      <c r="C428" s="1"/>
      <c r="D428" s="1"/>
    </row>
    <row r="429" ht="15.75" customHeight="1">
      <c r="B429" s="1"/>
      <c r="C429" s="1"/>
      <c r="D429" s="1"/>
    </row>
    <row r="430" ht="15.75" customHeight="1">
      <c r="B430" s="1"/>
      <c r="C430" s="1"/>
      <c r="D430" s="1"/>
    </row>
    <row r="431" ht="15.75" customHeight="1">
      <c r="B431" s="1"/>
      <c r="C431" s="1"/>
      <c r="D431" s="1"/>
    </row>
    <row r="432" ht="15.75" customHeight="1">
      <c r="B432" s="1"/>
      <c r="C432" s="1"/>
      <c r="D432" s="1"/>
    </row>
    <row r="433" ht="15.75" customHeight="1">
      <c r="B433" s="1"/>
      <c r="C433" s="1"/>
      <c r="D433" s="1"/>
    </row>
    <row r="434" ht="15.75" customHeight="1">
      <c r="B434" s="1"/>
      <c r="C434" s="1"/>
      <c r="D434" s="1"/>
    </row>
    <row r="435" ht="15.75" customHeight="1">
      <c r="B435" s="1"/>
      <c r="C435" s="1"/>
      <c r="D435" s="1"/>
    </row>
    <row r="436" ht="15.75" customHeight="1">
      <c r="B436" s="1"/>
      <c r="C436" s="1"/>
      <c r="D436" s="1"/>
    </row>
    <row r="437" ht="15.75" customHeight="1">
      <c r="B437" s="1"/>
      <c r="C437" s="1"/>
      <c r="D437" s="1"/>
    </row>
    <row r="438" ht="15.75" customHeight="1">
      <c r="B438" s="1"/>
      <c r="C438" s="1"/>
      <c r="D438" s="1"/>
    </row>
    <row r="439" ht="15.75" customHeight="1">
      <c r="B439" s="1"/>
      <c r="C439" s="1"/>
      <c r="D439" s="1"/>
    </row>
    <row r="440" ht="15.75" customHeight="1">
      <c r="B440" s="1"/>
      <c r="C440" s="1"/>
      <c r="D440" s="1"/>
    </row>
    <row r="441" ht="15.75" customHeight="1">
      <c r="B441" s="1"/>
      <c r="C441" s="1"/>
      <c r="D441" s="1"/>
    </row>
    <row r="442" ht="15.75" customHeight="1">
      <c r="B442" s="1"/>
      <c r="C442" s="1"/>
      <c r="D442" s="1"/>
    </row>
    <row r="443" ht="15.75" customHeight="1">
      <c r="B443" s="1"/>
      <c r="C443" s="1"/>
      <c r="D443" s="1"/>
    </row>
    <row r="444" ht="15.75" customHeight="1">
      <c r="B444" s="1"/>
      <c r="C444" s="1"/>
      <c r="D444" s="1"/>
    </row>
    <row r="445" ht="15.75" customHeight="1">
      <c r="B445" s="1"/>
      <c r="C445" s="1"/>
      <c r="D445" s="1"/>
    </row>
    <row r="446" ht="15.75" customHeight="1">
      <c r="B446" s="1"/>
      <c r="C446" s="1"/>
      <c r="D446" s="1"/>
    </row>
    <row r="447" ht="15.75" customHeight="1">
      <c r="B447" s="1"/>
      <c r="C447" s="1"/>
      <c r="D447" s="1"/>
    </row>
    <row r="448" ht="15.75" customHeight="1">
      <c r="B448" s="1"/>
      <c r="C448" s="1"/>
      <c r="D448" s="1"/>
    </row>
    <row r="449" ht="15.75" customHeight="1">
      <c r="B449" s="1"/>
      <c r="C449" s="1"/>
      <c r="D449" s="1"/>
    </row>
    <row r="450" ht="15.75" customHeight="1">
      <c r="B450" s="1"/>
      <c r="C450" s="1"/>
      <c r="D450" s="1"/>
    </row>
    <row r="451" ht="15.75" customHeight="1">
      <c r="B451" s="1"/>
      <c r="C451" s="1"/>
      <c r="D451" s="1"/>
    </row>
    <row r="452" ht="15.75" customHeight="1">
      <c r="B452" s="1"/>
      <c r="C452" s="1"/>
      <c r="D452" s="1"/>
    </row>
    <row r="453" ht="15.75" customHeight="1">
      <c r="B453" s="1"/>
      <c r="C453" s="1"/>
      <c r="D453" s="1"/>
    </row>
    <row r="454" ht="15.75" customHeight="1">
      <c r="B454" s="1"/>
      <c r="C454" s="1"/>
      <c r="D454" s="1"/>
    </row>
    <row r="455" ht="15.75" customHeight="1">
      <c r="B455" s="1"/>
      <c r="C455" s="1"/>
      <c r="D455" s="1"/>
    </row>
    <row r="456" ht="15.75" customHeight="1">
      <c r="B456" s="1"/>
      <c r="C456" s="1"/>
      <c r="D456" s="1"/>
    </row>
    <row r="457" ht="15.75" customHeight="1">
      <c r="B457" s="1"/>
      <c r="C457" s="1"/>
      <c r="D457" s="1"/>
    </row>
    <row r="458" ht="15.75" customHeight="1">
      <c r="B458" s="1"/>
      <c r="C458" s="1"/>
      <c r="D458" s="1"/>
    </row>
    <row r="459" ht="15.75" customHeight="1">
      <c r="B459" s="1"/>
      <c r="C459" s="1"/>
      <c r="D459" s="1"/>
    </row>
    <row r="460" ht="15.75" customHeight="1">
      <c r="B460" s="1"/>
      <c r="C460" s="1"/>
      <c r="D460" s="1"/>
    </row>
    <row r="461" ht="15.75" customHeight="1">
      <c r="B461" s="1"/>
      <c r="C461" s="1"/>
      <c r="D461" s="1"/>
    </row>
    <row r="462" ht="15.75" customHeight="1">
      <c r="B462" s="1"/>
      <c r="C462" s="1"/>
      <c r="D462" s="1"/>
    </row>
    <row r="463" ht="15.75" customHeight="1">
      <c r="B463" s="1"/>
      <c r="C463" s="1"/>
      <c r="D463" s="1"/>
    </row>
    <row r="464" ht="15.75" customHeight="1">
      <c r="B464" s="1"/>
      <c r="C464" s="1"/>
      <c r="D464" s="1"/>
    </row>
    <row r="465" ht="15.75" customHeight="1">
      <c r="B465" s="1"/>
      <c r="C465" s="1"/>
      <c r="D465" s="1"/>
    </row>
    <row r="466" ht="15.75" customHeight="1">
      <c r="B466" s="1"/>
      <c r="C466" s="1"/>
      <c r="D466" s="1"/>
    </row>
    <row r="467" ht="15.75" customHeight="1">
      <c r="B467" s="1"/>
      <c r="C467" s="1"/>
      <c r="D467" s="1"/>
    </row>
    <row r="468" ht="15.75" customHeight="1">
      <c r="B468" s="1"/>
      <c r="C468" s="1"/>
      <c r="D468" s="1"/>
    </row>
    <row r="469" ht="15.75" customHeight="1">
      <c r="B469" s="1"/>
      <c r="C469" s="1"/>
      <c r="D469" s="1"/>
    </row>
    <row r="470" ht="15.75" customHeight="1">
      <c r="B470" s="1"/>
      <c r="C470" s="1"/>
      <c r="D470" s="1"/>
    </row>
    <row r="471" ht="15.75" customHeight="1">
      <c r="B471" s="1"/>
      <c r="C471" s="1"/>
      <c r="D471" s="1"/>
    </row>
    <row r="472" ht="15.75" customHeight="1">
      <c r="B472" s="1"/>
      <c r="C472" s="1"/>
      <c r="D472" s="1"/>
    </row>
    <row r="473" ht="15.75" customHeight="1">
      <c r="B473" s="1"/>
      <c r="C473" s="1"/>
      <c r="D473" s="1"/>
    </row>
    <row r="474" ht="15.75" customHeight="1">
      <c r="B474" s="1"/>
      <c r="C474" s="1"/>
      <c r="D474" s="1"/>
    </row>
    <row r="475" ht="15.75" customHeight="1">
      <c r="B475" s="1"/>
      <c r="C475" s="1"/>
      <c r="D475" s="1"/>
    </row>
    <row r="476" ht="15.75" customHeight="1">
      <c r="B476" s="1"/>
      <c r="C476" s="1"/>
      <c r="D476" s="1"/>
    </row>
    <row r="477" ht="15.75" customHeight="1">
      <c r="B477" s="1"/>
      <c r="C477" s="1"/>
      <c r="D477" s="1"/>
    </row>
    <row r="478" ht="15.75" customHeight="1">
      <c r="B478" s="1"/>
      <c r="C478" s="1"/>
      <c r="D478" s="1"/>
    </row>
    <row r="479" ht="15.75" customHeight="1">
      <c r="B479" s="1"/>
      <c r="C479" s="1"/>
      <c r="D479" s="1"/>
    </row>
    <row r="480" ht="15.75" customHeight="1">
      <c r="B480" s="1"/>
      <c r="C480" s="1"/>
      <c r="D480" s="1"/>
    </row>
    <row r="481" ht="15.75" customHeight="1">
      <c r="B481" s="1"/>
      <c r="C481" s="1"/>
      <c r="D481" s="1"/>
    </row>
    <row r="482" ht="15.75" customHeight="1">
      <c r="B482" s="1"/>
      <c r="C482" s="1"/>
      <c r="D482" s="1"/>
    </row>
    <row r="483" ht="15.75" customHeight="1">
      <c r="B483" s="1"/>
      <c r="C483" s="1"/>
      <c r="D483" s="1"/>
    </row>
    <row r="484" ht="15.75" customHeight="1">
      <c r="B484" s="1"/>
      <c r="C484" s="1"/>
      <c r="D484" s="1"/>
    </row>
    <row r="485" ht="15.75" customHeight="1">
      <c r="B485" s="1"/>
      <c r="C485" s="1"/>
      <c r="D485" s="1"/>
    </row>
    <row r="486" ht="15.75" customHeight="1">
      <c r="B486" s="1"/>
      <c r="C486" s="1"/>
      <c r="D486" s="1"/>
    </row>
    <row r="487" ht="15.75" customHeight="1">
      <c r="B487" s="1"/>
      <c r="C487" s="1"/>
      <c r="D487" s="1"/>
    </row>
    <row r="488" ht="15.75" customHeight="1">
      <c r="B488" s="1"/>
      <c r="C488" s="1"/>
      <c r="D488" s="1"/>
    </row>
    <row r="489" ht="15.75" customHeight="1">
      <c r="B489" s="1"/>
      <c r="C489" s="1"/>
      <c r="D489" s="1"/>
    </row>
    <row r="490" ht="15.75" customHeight="1">
      <c r="B490" s="1"/>
      <c r="C490" s="1"/>
      <c r="D490" s="1"/>
    </row>
    <row r="491" ht="15.75" customHeight="1">
      <c r="B491" s="1"/>
      <c r="C491" s="1"/>
      <c r="D491" s="1"/>
    </row>
    <row r="492" ht="15.75" customHeight="1">
      <c r="B492" s="1"/>
      <c r="C492" s="1"/>
      <c r="D492" s="1"/>
    </row>
    <row r="493" ht="15.75" customHeight="1">
      <c r="B493" s="1"/>
      <c r="C493" s="1"/>
      <c r="D493" s="1"/>
    </row>
    <row r="494" ht="15.75" customHeight="1">
      <c r="B494" s="1"/>
      <c r="C494" s="1"/>
      <c r="D494" s="1"/>
    </row>
    <row r="495" ht="15.75" customHeight="1">
      <c r="B495" s="1"/>
      <c r="C495" s="1"/>
      <c r="D495" s="1"/>
    </row>
    <row r="496" ht="15.75" customHeight="1">
      <c r="B496" s="1"/>
      <c r="C496" s="1"/>
      <c r="D496" s="1"/>
    </row>
    <row r="497" ht="15.75" customHeight="1">
      <c r="B497" s="1"/>
      <c r="C497" s="1"/>
      <c r="D497" s="1"/>
    </row>
    <row r="498" ht="15.75" customHeight="1">
      <c r="B498" s="1"/>
      <c r="C498" s="1"/>
      <c r="D498" s="1"/>
    </row>
    <row r="499" ht="15.75" customHeight="1">
      <c r="B499" s="1"/>
      <c r="C499" s="1"/>
      <c r="D499" s="1"/>
    </row>
    <row r="500" ht="15.75" customHeight="1">
      <c r="B500" s="1"/>
      <c r="C500" s="1"/>
      <c r="D500" s="1"/>
    </row>
    <row r="501" ht="15.75" customHeight="1">
      <c r="B501" s="1"/>
      <c r="C501" s="1"/>
      <c r="D501" s="1"/>
    </row>
    <row r="502" ht="15.75" customHeight="1">
      <c r="B502" s="1"/>
      <c r="C502" s="1"/>
      <c r="D502" s="1"/>
    </row>
    <row r="503" ht="15.75" customHeight="1">
      <c r="B503" s="1"/>
      <c r="C503" s="1"/>
      <c r="D503" s="1"/>
    </row>
    <row r="504" ht="15.75" customHeight="1">
      <c r="B504" s="1"/>
      <c r="C504" s="1"/>
      <c r="D504" s="1"/>
    </row>
    <row r="505" ht="15.75" customHeight="1">
      <c r="B505" s="1"/>
      <c r="C505" s="1"/>
      <c r="D505" s="1"/>
    </row>
    <row r="506" ht="15.75" customHeight="1">
      <c r="B506" s="1"/>
      <c r="C506" s="1"/>
      <c r="D506" s="1"/>
    </row>
    <row r="507" ht="15.75" customHeight="1">
      <c r="B507" s="1"/>
      <c r="C507" s="1"/>
      <c r="D507" s="1"/>
    </row>
    <row r="508" ht="15.75" customHeight="1">
      <c r="B508" s="1"/>
      <c r="C508" s="1"/>
      <c r="D508" s="1"/>
    </row>
    <row r="509" ht="15.75" customHeight="1">
      <c r="B509" s="1"/>
      <c r="C509" s="1"/>
      <c r="D509" s="1"/>
    </row>
    <row r="510" ht="15.75" customHeight="1">
      <c r="B510" s="1"/>
      <c r="C510" s="1"/>
      <c r="D510" s="1"/>
    </row>
    <row r="511" ht="15.75" customHeight="1">
      <c r="B511" s="1"/>
      <c r="C511" s="1"/>
      <c r="D511" s="1"/>
    </row>
    <row r="512" ht="15.75" customHeight="1">
      <c r="B512" s="1"/>
      <c r="C512" s="1"/>
      <c r="D512" s="1"/>
    </row>
    <row r="513" ht="15.75" customHeight="1">
      <c r="B513" s="1"/>
      <c r="C513" s="1"/>
      <c r="D513" s="1"/>
    </row>
    <row r="514" ht="15.75" customHeight="1">
      <c r="B514" s="1"/>
      <c r="C514" s="1"/>
      <c r="D514" s="1"/>
    </row>
    <row r="515" ht="15.75" customHeight="1">
      <c r="B515" s="1"/>
      <c r="C515" s="1"/>
      <c r="D515" s="1"/>
    </row>
    <row r="516" ht="15.75" customHeight="1">
      <c r="B516" s="1"/>
      <c r="C516" s="1"/>
      <c r="D516" s="1"/>
    </row>
    <row r="517" ht="15.75" customHeight="1">
      <c r="B517" s="1"/>
      <c r="C517" s="1"/>
      <c r="D517" s="1"/>
    </row>
    <row r="518" ht="15.75" customHeight="1">
      <c r="B518" s="1"/>
      <c r="C518" s="1"/>
      <c r="D518" s="1"/>
    </row>
    <row r="519" ht="15.75" customHeight="1">
      <c r="B519" s="1"/>
      <c r="C519" s="1"/>
      <c r="D519" s="1"/>
    </row>
    <row r="520" ht="15.75" customHeight="1">
      <c r="B520" s="1"/>
      <c r="C520" s="1"/>
      <c r="D520" s="1"/>
    </row>
    <row r="521" ht="15.75" customHeight="1">
      <c r="B521" s="1"/>
      <c r="C521" s="1"/>
      <c r="D521" s="1"/>
    </row>
    <row r="522" ht="15.75" customHeight="1">
      <c r="B522" s="1"/>
      <c r="C522" s="1"/>
      <c r="D522" s="1"/>
    </row>
    <row r="523" ht="15.75" customHeight="1">
      <c r="B523" s="1"/>
      <c r="C523" s="1"/>
      <c r="D523" s="1"/>
    </row>
    <row r="524" ht="15.75" customHeight="1">
      <c r="B524" s="1"/>
      <c r="C524" s="1"/>
      <c r="D524" s="1"/>
    </row>
    <row r="525" ht="15.75" customHeight="1">
      <c r="B525" s="1"/>
      <c r="C525" s="1"/>
      <c r="D525" s="1"/>
    </row>
    <row r="526" ht="15.75" customHeight="1">
      <c r="B526" s="1"/>
      <c r="C526" s="1"/>
      <c r="D526" s="1"/>
    </row>
    <row r="527" ht="15.75" customHeight="1">
      <c r="B527" s="1"/>
      <c r="C527" s="1"/>
      <c r="D527" s="1"/>
    </row>
    <row r="528" ht="15.75" customHeight="1">
      <c r="B528" s="1"/>
      <c r="C528" s="1"/>
      <c r="D528" s="1"/>
    </row>
    <row r="529" ht="15.75" customHeight="1">
      <c r="B529" s="1"/>
      <c r="C529" s="1"/>
      <c r="D529" s="1"/>
    </row>
    <row r="530" ht="15.75" customHeight="1">
      <c r="B530" s="1"/>
      <c r="C530" s="1"/>
      <c r="D530" s="1"/>
    </row>
    <row r="531" ht="15.75" customHeight="1">
      <c r="B531" s="1"/>
      <c r="C531" s="1"/>
      <c r="D531" s="1"/>
    </row>
    <row r="532" ht="15.75" customHeight="1">
      <c r="B532" s="1"/>
      <c r="C532" s="1"/>
      <c r="D532" s="1"/>
    </row>
    <row r="533" ht="15.75" customHeight="1">
      <c r="B533" s="1"/>
      <c r="C533" s="1"/>
      <c r="D533" s="1"/>
    </row>
    <row r="534" ht="15.75" customHeight="1">
      <c r="B534" s="1"/>
      <c r="C534" s="1"/>
      <c r="D534" s="1"/>
    </row>
    <row r="535" ht="15.75" customHeight="1">
      <c r="B535" s="1"/>
      <c r="C535" s="1"/>
      <c r="D535" s="1"/>
    </row>
    <row r="536" ht="15.75" customHeight="1">
      <c r="B536" s="1"/>
      <c r="C536" s="1"/>
      <c r="D536" s="1"/>
    </row>
    <row r="537" ht="15.75" customHeight="1">
      <c r="B537" s="1"/>
      <c r="C537" s="1"/>
      <c r="D537" s="1"/>
    </row>
    <row r="538" ht="15.75" customHeight="1">
      <c r="B538" s="1"/>
      <c r="C538" s="1"/>
      <c r="D538" s="1"/>
    </row>
    <row r="539" ht="15.75" customHeight="1">
      <c r="B539" s="1"/>
      <c r="C539" s="1"/>
      <c r="D539" s="1"/>
    </row>
    <row r="540" ht="15.75" customHeight="1">
      <c r="B540" s="1"/>
      <c r="C540" s="1"/>
      <c r="D540" s="1"/>
    </row>
    <row r="541" ht="15.75" customHeight="1">
      <c r="B541" s="1"/>
      <c r="C541" s="1"/>
      <c r="D541" s="1"/>
    </row>
    <row r="542" ht="15.75" customHeight="1">
      <c r="B542" s="1"/>
      <c r="C542" s="1"/>
      <c r="D542" s="1"/>
    </row>
    <row r="543" ht="15.75" customHeight="1">
      <c r="B543" s="1"/>
      <c r="C543" s="1"/>
      <c r="D543" s="1"/>
    </row>
    <row r="544" ht="15.75" customHeight="1">
      <c r="B544" s="1"/>
      <c r="C544" s="1"/>
      <c r="D544" s="1"/>
    </row>
    <row r="545" ht="15.75" customHeight="1">
      <c r="B545" s="1"/>
      <c r="C545" s="1"/>
      <c r="D545" s="1"/>
    </row>
    <row r="546" ht="15.75" customHeight="1">
      <c r="B546" s="1"/>
      <c r="C546" s="1"/>
      <c r="D546" s="1"/>
    </row>
    <row r="547" ht="15.75" customHeight="1">
      <c r="B547" s="1"/>
      <c r="C547" s="1"/>
      <c r="D547" s="1"/>
    </row>
    <row r="548" ht="15.75" customHeight="1">
      <c r="B548" s="1"/>
      <c r="C548" s="1"/>
      <c r="D548" s="1"/>
    </row>
    <row r="549" ht="15.75" customHeight="1">
      <c r="B549" s="1"/>
      <c r="C549" s="1"/>
      <c r="D549" s="1"/>
    </row>
    <row r="550" ht="15.75" customHeight="1">
      <c r="B550" s="1"/>
      <c r="C550" s="1"/>
      <c r="D550" s="1"/>
    </row>
    <row r="551" ht="15.75" customHeight="1">
      <c r="B551" s="1"/>
      <c r="C551" s="1"/>
      <c r="D551" s="1"/>
    </row>
    <row r="552" ht="15.75" customHeight="1">
      <c r="B552" s="1"/>
      <c r="C552" s="1"/>
      <c r="D552" s="1"/>
    </row>
    <row r="553" ht="15.75" customHeight="1">
      <c r="B553" s="1"/>
      <c r="C553" s="1"/>
      <c r="D553" s="1"/>
    </row>
    <row r="554" ht="15.75" customHeight="1">
      <c r="B554" s="1"/>
      <c r="C554" s="1"/>
      <c r="D554" s="1"/>
    </row>
    <row r="555" ht="15.75" customHeight="1">
      <c r="B555" s="1"/>
      <c r="C555" s="1"/>
      <c r="D555" s="1"/>
    </row>
    <row r="556" ht="15.75" customHeight="1">
      <c r="B556" s="1"/>
      <c r="C556" s="1"/>
      <c r="D556" s="1"/>
    </row>
    <row r="557" ht="15.75" customHeight="1">
      <c r="B557" s="1"/>
      <c r="C557" s="1"/>
      <c r="D557" s="1"/>
    </row>
    <row r="558" ht="15.75" customHeight="1">
      <c r="B558" s="1"/>
      <c r="C558" s="1"/>
      <c r="D558" s="1"/>
    </row>
    <row r="559" ht="15.75" customHeight="1">
      <c r="B559" s="1"/>
      <c r="C559" s="1"/>
      <c r="D559" s="1"/>
    </row>
    <row r="560" ht="15.75" customHeight="1">
      <c r="B560" s="1"/>
      <c r="C560" s="1"/>
      <c r="D560" s="1"/>
    </row>
    <row r="561" ht="15.75" customHeight="1">
      <c r="B561" s="1"/>
      <c r="C561" s="1"/>
      <c r="D561" s="1"/>
    </row>
    <row r="562" ht="15.75" customHeight="1">
      <c r="B562" s="1"/>
      <c r="C562" s="1"/>
      <c r="D562" s="1"/>
    </row>
    <row r="563" ht="15.75" customHeight="1">
      <c r="B563" s="1"/>
      <c r="C563" s="1"/>
      <c r="D563" s="1"/>
    </row>
    <row r="564" ht="15.75" customHeight="1">
      <c r="B564" s="1"/>
      <c r="C564" s="1"/>
      <c r="D564" s="1"/>
    </row>
    <row r="565" ht="15.75" customHeight="1">
      <c r="B565" s="1"/>
      <c r="C565" s="1"/>
      <c r="D565" s="1"/>
    </row>
    <row r="566" ht="15.75" customHeight="1">
      <c r="B566" s="1"/>
      <c r="C566" s="1"/>
      <c r="D566" s="1"/>
    </row>
    <row r="567" ht="15.75" customHeight="1">
      <c r="B567" s="1"/>
      <c r="C567" s="1"/>
      <c r="D567" s="1"/>
    </row>
    <row r="568" ht="15.75" customHeight="1">
      <c r="B568" s="1"/>
      <c r="C568" s="1"/>
      <c r="D568" s="1"/>
    </row>
    <row r="569" ht="15.75" customHeight="1">
      <c r="B569" s="1"/>
      <c r="C569" s="1"/>
      <c r="D569" s="1"/>
    </row>
    <row r="570" ht="15.75" customHeight="1">
      <c r="B570" s="1"/>
      <c r="C570" s="1"/>
      <c r="D570" s="1"/>
    </row>
    <row r="571" ht="15.75" customHeight="1">
      <c r="B571" s="1"/>
      <c r="C571" s="1"/>
      <c r="D571" s="1"/>
    </row>
    <row r="572" ht="15.75" customHeight="1">
      <c r="B572" s="1"/>
      <c r="C572" s="1"/>
      <c r="D572" s="1"/>
    </row>
    <row r="573" ht="15.75" customHeight="1">
      <c r="B573" s="1"/>
      <c r="C573" s="1"/>
      <c r="D573" s="1"/>
    </row>
    <row r="574" ht="15.75" customHeight="1">
      <c r="B574" s="1"/>
      <c r="C574" s="1"/>
      <c r="D574" s="1"/>
    </row>
    <row r="575" ht="15.75" customHeight="1">
      <c r="B575" s="1"/>
      <c r="C575" s="1"/>
      <c r="D575" s="1"/>
    </row>
    <row r="576" ht="15.75" customHeight="1">
      <c r="B576" s="1"/>
      <c r="C576" s="1"/>
      <c r="D576" s="1"/>
    </row>
    <row r="577" ht="15.75" customHeight="1">
      <c r="B577" s="1"/>
      <c r="C577" s="1"/>
      <c r="D577" s="1"/>
    </row>
    <row r="578" ht="15.75" customHeight="1">
      <c r="B578" s="1"/>
      <c r="C578" s="1"/>
      <c r="D578" s="1"/>
    </row>
    <row r="579" ht="15.75" customHeight="1">
      <c r="B579" s="1"/>
      <c r="C579" s="1"/>
      <c r="D579" s="1"/>
    </row>
    <row r="580" ht="15.75" customHeight="1">
      <c r="B580" s="1"/>
      <c r="C580" s="1"/>
      <c r="D580" s="1"/>
    </row>
    <row r="581" ht="15.75" customHeight="1">
      <c r="B581" s="1"/>
      <c r="C581" s="1"/>
      <c r="D581" s="1"/>
    </row>
    <row r="582" ht="15.75" customHeight="1">
      <c r="B582" s="1"/>
      <c r="C582" s="1"/>
      <c r="D582" s="1"/>
    </row>
    <row r="583" ht="15.75" customHeight="1">
      <c r="B583" s="1"/>
      <c r="C583" s="1"/>
      <c r="D583" s="1"/>
    </row>
    <row r="584" ht="15.75" customHeight="1">
      <c r="B584" s="1"/>
      <c r="C584" s="1"/>
      <c r="D584" s="1"/>
    </row>
    <row r="585" ht="15.75" customHeight="1">
      <c r="B585" s="1"/>
      <c r="C585" s="1"/>
      <c r="D585" s="1"/>
    </row>
    <row r="586" ht="15.75" customHeight="1">
      <c r="B586" s="1"/>
      <c r="C586" s="1"/>
      <c r="D586" s="1"/>
    </row>
    <row r="587" ht="15.75" customHeight="1">
      <c r="B587" s="1"/>
      <c r="C587" s="1"/>
      <c r="D587" s="1"/>
    </row>
    <row r="588" ht="15.75" customHeight="1">
      <c r="B588" s="1"/>
      <c r="C588" s="1"/>
      <c r="D588" s="1"/>
    </row>
    <row r="589" ht="15.75" customHeight="1">
      <c r="B589" s="1"/>
      <c r="C589" s="1"/>
      <c r="D589" s="1"/>
    </row>
    <row r="590" ht="15.75" customHeight="1">
      <c r="B590" s="1"/>
      <c r="C590" s="1"/>
      <c r="D590" s="1"/>
    </row>
    <row r="591" ht="15.75" customHeight="1">
      <c r="B591" s="1"/>
      <c r="C591" s="1"/>
      <c r="D591" s="1"/>
    </row>
    <row r="592" ht="15.75" customHeight="1">
      <c r="B592" s="1"/>
      <c r="C592" s="1"/>
      <c r="D592" s="1"/>
    </row>
    <row r="593" ht="15.75" customHeight="1">
      <c r="B593" s="1"/>
      <c r="C593" s="1"/>
      <c r="D593" s="1"/>
    </row>
    <row r="594" ht="15.75" customHeight="1">
      <c r="B594" s="1"/>
      <c r="C594" s="1"/>
      <c r="D594" s="1"/>
    </row>
    <row r="595" ht="15.75" customHeight="1">
      <c r="B595" s="1"/>
      <c r="C595" s="1"/>
      <c r="D595" s="1"/>
    </row>
    <row r="596" ht="15.75" customHeight="1">
      <c r="B596" s="1"/>
      <c r="C596" s="1"/>
      <c r="D596" s="1"/>
    </row>
    <row r="597" ht="15.75" customHeight="1">
      <c r="B597" s="1"/>
      <c r="C597" s="1"/>
      <c r="D597" s="1"/>
    </row>
    <row r="598" ht="15.75" customHeight="1">
      <c r="B598" s="1"/>
      <c r="C598" s="1"/>
      <c r="D598" s="1"/>
    </row>
    <row r="599" ht="15.75" customHeight="1">
      <c r="B599" s="1"/>
      <c r="C599" s="1"/>
      <c r="D599" s="1"/>
    </row>
    <row r="600" ht="15.75" customHeight="1">
      <c r="B600" s="1"/>
      <c r="C600" s="1"/>
      <c r="D600" s="1"/>
    </row>
    <row r="601" ht="15.75" customHeight="1">
      <c r="B601" s="1"/>
      <c r="C601" s="1"/>
      <c r="D601" s="1"/>
    </row>
    <row r="602" ht="15.75" customHeight="1">
      <c r="B602" s="1"/>
      <c r="C602" s="1"/>
      <c r="D602" s="1"/>
    </row>
    <row r="603" ht="15.75" customHeight="1">
      <c r="B603" s="1"/>
      <c r="C603" s="1"/>
      <c r="D603" s="1"/>
    </row>
    <row r="604" ht="15.75" customHeight="1">
      <c r="B604" s="1"/>
      <c r="C604" s="1"/>
      <c r="D604" s="1"/>
    </row>
    <row r="605" ht="15.75" customHeight="1">
      <c r="B605" s="1"/>
      <c r="C605" s="1"/>
      <c r="D605" s="1"/>
    </row>
    <row r="606" ht="15.75" customHeight="1">
      <c r="B606" s="1"/>
      <c r="C606" s="1"/>
      <c r="D606" s="1"/>
    </row>
    <row r="607" ht="15.75" customHeight="1">
      <c r="B607" s="1"/>
      <c r="C607" s="1"/>
      <c r="D607" s="1"/>
    </row>
    <row r="608" ht="15.75" customHeight="1">
      <c r="B608" s="1"/>
      <c r="C608" s="1"/>
      <c r="D608" s="1"/>
    </row>
    <row r="609" ht="15.75" customHeight="1">
      <c r="B609" s="1"/>
      <c r="C609" s="1"/>
      <c r="D609" s="1"/>
    </row>
    <row r="610" ht="15.75" customHeight="1">
      <c r="B610" s="1"/>
      <c r="C610" s="1"/>
      <c r="D610" s="1"/>
    </row>
    <row r="611" ht="15.75" customHeight="1">
      <c r="B611" s="1"/>
      <c r="C611" s="1"/>
      <c r="D611" s="1"/>
    </row>
    <row r="612" ht="15.75" customHeight="1">
      <c r="B612" s="1"/>
      <c r="C612" s="1"/>
      <c r="D612" s="1"/>
    </row>
    <row r="613" ht="15.75" customHeight="1">
      <c r="B613" s="1"/>
      <c r="C613" s="1"/>
      <c r="D613" s="1"/>
    </row>
    <row r="614" ht="15.75" customHeight="1">
      <c r="B614" s="1"/>
      <c r="C614" s="1"/>
      <c r="D614" s="1"/>
    </row>
    <row r="615" ht="15.75" customHeight="1">
      <c r="B615" s="1"/>
      <c r="C615" s="1"/>
      <c r="D615" s="1"/>
    </row>
    <row r="616" ht="15.75" customHeight="1">
      <c r="B616" s="1"/>
      <c r="C616" s="1"/>
      <c r="D616" s="1"/>
    </row>
    <row r="617" ht="15.75" customHeight="1">
      <c r="B617" s="1"/>
      <c r="C617" s="1"/>
      <c r="D617" s="1"/>
    </row>
    <row r="618" ht="15.75" customHeight="1">
      <c r="B618" s="1"/>
      <c r="C618" s="1"/>
      <c r="D618" s="1"/>
    </row>
    <row r="619" ht="15.75" customHeight="1">
      <c r="B619" s="1"/>
      <c r="C619" s="1"/>
      <c r="D619" s="1"/>
    </row>
    <row r="620" ht="15.75" customHeight="1">
      <c r="B620" s="1"/>
      <c r="C620" s="1"/>
      <c r="D620" s="1"/>
    </row>
    <row r="621" ht="15.75" customHeight="1">
      <c r="B621" s="1"/>
      <c r="C621" s="1"/>
      <c r="D621" s="1"/>
    </row>
    <row r="622" ht="15.75" customHeight="1">
      <c r="B622" s="1"/>
      <c r="C622" s="1"/>
      <c r="D622" s="1"/>
    </row>
    <row r="623" ht="15.75" customHeight="1">
      <c r="B623" s="1"/>
      <c r="C623" s="1"/>
      <c r="D623" s="1"/>
    </row>
    <row r="624" ht="15.75" customHeight="1">
      <c r="B624" s="1"/>
      <c r="C624" s="1"/>
      <c r="D624" s="1"/>
    </row>
    <row r="625" ht="15.75" customHeight="1">
      <c r="B625" s="1"/>
      <c r="C625" s="1"/>
      <c r="D625" s="1"/>
    </row>
    <row r="626" ht="15.75" customHeight="1">
      <c r="B626" s="1"/>
      <c r="C626" s="1"/>
      <c r="D626" s="1"/>
    </row>
    <row r="627" ht="15.75" customHeight="1">
      <c r="B627" s="1"/>
      <c r="C627" s="1"/>
      <c r="D627" s="1"/>
    </row>
    <row r="628" ht="15.75" customHeight="1">
      <c r="B628" s="1"/>
      <c r="C628" s="1"/>
      <c r="D628" s="1"/>
    </row>
    <row r="629" ht="15.75" customHeight="1">
      <c r="B629" s="1"/>
      <c r="C629" s="1"/>
      <c r="D629" s="1"/>
    </row>
    <row r="630" ht="15.75" customHeight="1">
      <c r="B630" s="1"/>
      <c r="C630" s="1"/>
      <c r="D630" s="1"/>
    </row>
    <row r="631" ht="15.75" customHeight="1">
      <c r="B631" s="1"/>
      <c r="C631" s="1"/>
      <c r="D631" s="1"/>
    </row>
    <row r="632" ht="15.75" customHeight="1">
      <c r="B632" s="1"/>
      <c r="C632" s="1"/>
      <c r="D632" s="1"/>
    </row>
    <row r="633" ht="15.75" customHeight="1">
      <c r="B633" s="1"/>
      <c r="C633" s="1"/>
      <c r="D633" s="1"/>
    </row>
    <row r="634" ht="15.75" customHeight="1">
      <c r="B634" s="1"/>
      <c r="C634" s="1"/>
      <c r="D634" s="1"/>
    </row>
    <row r="635" ht="15.75" customHeight="1">
      <c r="B635" s="1"/>
      <c r="C635" s="1"/>
      <c r="D635" s="1"/>
    </row>
    <row r="636" ht="15.75" customHeight="1">
      <c r="B636" s="1"/>
      <c r="C636" s="1"/>
      <c r="D636" s="1"/>
    </row>
    <row r="637" ht="15.75" customHeight="1">
      <c r="B637" s="1"/>
      <c r="C637" s="1"/>
      <c r="D637" s="1"/>
    </row>
    <row r="638" ht="15.75" customHeight="1">
      <c r="B638" s="1"/>
      <c r="C638" s="1"/>
      <c r="D638" s="1"/>
    </row>
    <row r="639" ht="15.75" customHeight="1">
      <c r="B639" s="1"/>
      <c r="C639" s="1"/>
      <c r="D639" s="1"/>
    </row>
    <row r="640" ht="15.75" customHeight="1">
      <c r="B640" s="1"/>
      <c r="C640" s="1"/>
      <c r="D640" s="1"/>
    </row>
    <row r="641" ht="15.75" customHeight="1">
      <c r="B641" s="1"/>
      <c r="C641" s="1"/>
      <c r="D641" s="1"/>
    </row>
    <row r="642" ht="15.75" customHeight="1">
      <c r="B642" s="1"/>
      <c r="C642" s="1"/>
      <c r="D642" s="1"/>
    </row>
    <row r="643" ht="15.75" customHeight="1">
      <c r="B643" s="1"/>
      <c r="C643" s="1"/>
      <c r="D643" s="1"/>
    </row>
    <row r="644" ht="15.75" customHeight="1">
      <c r="B644" s="1"/>
      <c r="C644" s="1"/>
      <c r="D644" s="1"/>
    </row>
    <row r="645" ht="15.75" customHeight="1">
      <c r="B645" s="1"/>
      <c r="C645" s="1"/>
      <c r="D645" s="1"/>
    </row>
    <row r="646" ht="15.75" customHeight="1">
      <c r="B646" s="1"/>
      <c r="C646" s="1"/>
      <c r="D646" s="1"/>
    </row>
    <row r="647" ht="15.75" customHeight="1">
      <c r="B647" s="1"/>
      <c r="C647" s="1"/>
      <c r="D647" s="1"/>
    </row>
    <row r="648" ht="15.75" customHeight="1">
      <c r="B648" s="1"/>
      <c r="C648" s="1"/>
      <c r="D648" s="1"/>
    </row>
    <row r="649" ht="15.75" customHeight="1">
      <c r="B649" s="1"/>
      <c r="C649" s="1"/>
      <c r="D649" s="1"/>
    </row>
    <row r="650" ht="15.75" customHeight="1">
      <c r="B650" s="1"/>
      <c r="C650" s="1"/>
      <c r="D650" s="1"/>
    </row>
    <row r="651" ht="15.75" customHeight="1">
      <c r="B651" s="1"/>
      <c r="C651" s="1"/>
      <c r="D651" s="1"/>
    </row>
    <row r="652" ht="15.75" customHeight="1">
      <c r="B652" s="1"/>
      <c r="C652" s="1"/>
      <c r="D652" s="1"/>
    </row>
    <row r="653" ht="15.75" customHeight="1">
      <c r="B653" s="1"/>
      <c r="C653" s="1"/>
      <c r="D653" s="1"/>
    </row>
    <row r="654" ht="15.75" customHeight="1">
      <c r="B654" s="1"/>
      <c r="C654" s="1"/>
      <c r="D654" s="1"/>
    </row>
    <row r="655" ht="15.75" customHeight="1">
      <c r="B655" s="1"/>
      <c r="C655" s="1"/>
      <c r="D655" s="1"/>
    </row>
    <row r="656" ht="15.75" customHeight="1">
      <c r="B656" s="1"/>
      <c r="C656" s="1"/>
      <c r="D656" s="1"/>
    </row>
    <row r="657" ht="15.75" customHeight="1">
      <c r="B657" s="1"/>
      <c r="C657" s="1"/>
      <c r="D657" s="1"/>
    </row>
    <row r="658" ht="15.75" customHeight="1">
      <c r="B658" s="1"/>
      <c r="C658" s="1"/>
      <c r="D658" s="1"/>
    </row>
    <row r="659" ht="15.75" customHeight="1">
      <c r="B659" s="1"/>
      <c r="C659" s="1"/>
      <c r="D659" s="1"/>
    </row>
    <row r="660" ht="15.75" customHeight="1">
      <c r="B660" s="1"/>
      <c r="C660" s="1"/>
      <c r="D660" s="1"/>
    </row>
    <row r="661" ht="15.75" customHeight="1">
      <c r="B661" s="1"/>
      <c r="C661" s="1"/>
      <c r="D661" s="1"/>
    </row>
    <row r="662" ht="15.75" customHeight="1">
      <c r="B662" s="1"/>
      <c r="C662" s="1"/>
      <c r="D662" s="1"/>
    </row>
    <row r="663" ht="15.75" customHeight="1">
      <c r="B663" s="1"/>
      <c r="C663" s="1"/>
      <c r="D663" s="1"/>
    </row>
    <row r="664" ht="15.75" customHeight="1">
      <c r="B664" s="1"/>
      <c r="C664" s="1"/>
      <c r="D664" s="1"/>
    </row>
    <row r="665" ht="15.75" customHeight="1">
      <c r="B665" s="1"/>
      <c r="C665" s="1"/>
      <c r="D665" s="1"/>
    </row>
    <row r="666" ht="15.75" customHeight="1">
      <c r="B666" s="1"/>
      <c r="C666" s="1"/>
      <c r="D666" s="1"/>
    </row>
    <row r="667" ht="15.75" customHeight="1">
      <c r="B667" s="1"/>
      <c r="C667" s="1"/>
      <c r="D667" s="1"/>
    </row>
    <row r="668" ht="15.75" customHeight="1">
      <c r="B668" s="1"/>
      <c r="C668" s="1"/>
      <c r="D668" s="1"/>
    </row>
    <row r="669" ht="15.75" customHeight="1">
      <c r="B669" s="1"/>
      <c r="C669" s="1"/>
      <c r="D669" s="1"/>
    </row>
    <row r="670" ht="15.75" customHeight="1">
      <c r="B670" s="1"/>
      <c r="C670" s="1"/>
      <c r="D670" s="1"/>
    </row>
    <row r="671" ht="15.75" customHeight="1">
      <c r="B671" s="1"/>
      <c r="C671" s="1"/>
      <c r="D671" s="1"/>
    </row>
    <row r="672" ht="15.75" customHeight="1">
      <c r="B672" s="1"/>
      <c r="C672" s="1"/>
      <c r="D672" s="1"/>
    </row>
    <row r="673" ht="15.75" customHeight="1">
      <c r="B673" s="1"/>
      <c r="C673" s="1"/>
      <c r="D673" s="1"/>
    </row>
    <row r="674" ht="15.75" customHeight="1">
      <c r="B674" s="1"/>
      <c r="C674" s="1"/>
      <c r="D674" s="1"/>
    </row>
    <row r="675" ht="15.75" customHeight="1">
      <c r="B675" s="1"/>
      <c r="C675" s="1"/>
      <c r="D675" s="1"/>
    </row>
    <row r="676" ht="15.75" customHeight="1">
      <c r="B676" s="1"/>
      <c r="C676" s="1"/>
      <c r="D676" s="1"/>
    </row>
    <row r="677" ht="15.75" customHeight="1">
      <c r="B677" s="1"/>
      <c r="C677" s="1"/>
      <c r="D677" s="1"/>
    </row>
    <row r="678" ht="15.75" customHeight="1">
      <c r="B678" s="1"/>
      <c r="C678" s="1"/>
      <c r="D678" s="1"/>
    </row>
    <row r="679" ht="15.75" customHeight="1">
      <c r="B679" s="1"/>
      <c r="C679" s="1"/>
      <c r="D679" s="1"/>
    </row>
    <row r="680" ht="15.75" customHeight="1">
      <c r="B680" s="1"/>
      <c r="C680" s="1"/>
      <c r="D680" s="1"/>
    </row>
    <row r="681" ht="15.75" customHeight="1">
      <c r="B681" s="1"/>
      <c r="C681" s="1"/>
      <c r="D681" s="1"/>
    </row>
    <row r="682" ht="15.75" customHeight="1">
      <c r="B682" s="1"/>
      <c r="C682" s="1"/>
      <c r="D682" s="1"/>
    </row>
    <row r="683" ht="15.75" customHeight="1">
      <c r="B683" s="1"/>
      <c r="C683" s="1"/>
      <c r="D683" s="1"/>
    </row>
    <row r="684" ht="15.75" customHeight="1">
      <c r="B684" s="1"/>
      <c r="C684" s="1"/>
      <c r="D684" s="1"/>
    </row>
    <row r="685" ht="15.75" customHeight="1">
      <c r="B685" s="1"/>
      <c r="C685" s="1"/>
      <c r="D685" s="1"/>
    </row>
    <row r="686" ht="15.75" customHeight="1">
      <c r="B686" s="1"/>
      <c r="C686" s="1"/>
      <c r="D686" s="1"/>
    </row>
    <row r="687" ht="15.75" customHeight="1">
      <c r="B687" s="1"/>
      <c r="C687" s="1"/>
      <c r="D687" s="1"/>
    </row>
    <row r="688" ht="15.75" customHeight="1">
      <c r="B688" s="1"/>
      <c r="C688" s="1"/>
      <c r="D688" s="1"/>
    </row>
    <row r="689" ht="15.75" customHeight="1">
      <c r="B689" s="1"/>
      <c r="C689" s="1"/>
      <c r="D689" s="1"/>
    </row>
    <row r="690" ht="15.75" customHeight="1">
      <c r="B690" s="1"/>
      <c r="C690" s="1"/>
      <c r="D690" s="1"/>
    </row>
    <row r="691" ht="15.75" customHeight="1">
      <c r="B691" s="1"/>
      <c r="C691" s="1"/>
      <c r="D691" s="1"/>
    </row>
    <row r="692" ht="15.75" customHeight="1">
      <c r="B692" s="1"/>
      <c r="C692" s="1"/>
      <c r="D692" s="1"/>
    </row>
    <row r="693" ht="15.75" customHeight="1">
      <c r="B693" s="1"/>
      <c r="C693" s="1"/>
      <c r="D693" s="1"/>
    </row>
    <row r="694" ht="15.75" customHeight="1">
      <c r="B694" s="1"/>
      <c r="C694" s="1"/>
      <c r="D694" s="1"/>
    </row>
    <row r="695" ht="15.75" customHeight="1">
      <c r="B695" s="1"/>
      <c r="C695" s="1"/>
      <c r="D695" s="1"/>
    </row>
    <row r="696" ht="15.75" customHeight="1">
      <c r="B696" s="1"/>
      <c r="C696" s="1"/>
      <c r="D696" s="1"/>
    </row>
    <row r="697" ht="15.75" customHeight="1">
      <c r="B697" s="1"/>
      <c r="C697" s="1"/>
      <c r="D697" s="1"/>
    </row>
    <row r="698" ht="15.75" customHeight="1">
      <c r="B698" s="1"/>
      <c r="C698" s="1"/>
      <c r="D698" s="1"/>
    </row>
    <row r="699" ht="15.75" customHeight="1">
      <c r="B699" s="1"/>
      <c r="C699" s="1"/>
      <c r="D699" s="1"/>
    </row>
    <row r="700" ht="15.75" customHeight="1">
      <c r="B700" s="1"/>
      <c r="C700" s="1"/>
      <c r="D700" s="1"/>
    </row>
    <row r="701" ht="15.75" customHeight="1">
      <c r="B701" s="1"/>
      <c r="C701" s="1"/>
      <c r="D701" s="1"/>
    </row>
    <row r="702" ht="15.75" customHeight="1">
      <c r="B702" s="1"/>
      <c r="C702" s="1"/>
      <c r="D702" s="1"/>
    </row>
    <row r="703" ht="15.75" customHeight="1">
      <c r="B703" s="1"/>
      <c r="C703" s="1"/>
      <c r="D703" s="1"/>
    </row>
    <row r="704" ht="15.75" customHeight="1">
      <c r="B704" s="1"/>
      <c r="C704" s="1"/>
      <c r="D704" s="1"/>
    </row>
    <row r="705" ht="15.75" customHeight="1">
      <c r="B705" s="1"/>
      <c r="C705" s="1"/>
      <c r="D705" s="1"/>
    </row>
    <row r="706" ht="15.75" customHeight="1">
      <c r="B706" s="1"/>
      <c r="C706" s="1"/>
      <c r="D706" s="1"/>
    </row>
    <row r="707" ht="15.75" customHeight="1">
      <c r="B707" s="1"/>
      <c r="C707" s="1"/>
      <c r="D707" s="1"/>
    </row>
    <row r="708" ht="15.75" customHeight="1">
      <c r="B708" s="1"/>
      <c r="C708" s="1"/>
      <c r="D708" s="1"/>
    </row>
    <row r="709" ht="15.75" customHeight="1">
      <c r="B709" s="1"/>
      <c r="C709" s="1"/>
      <c r="D709" s="1"/>
    </row>
    <row r="710" ht="15.75" customHeight="1">
      <c r="B710" s="1"/>
      <c r="C710" s="1"/>
      <c r="D710" s="1"/>
    </row>
    <row r="711" ht="15.75" customHeight="1">
      <c r="B711" s="1"/>
      <c r="C711" s="1"/>
      <c r="D711" s="1"/>
    </row>
    <row r="712" ht="15.75" customHeight="1">
      <c r="B712" s="1"/>
      <c r="C712" s="1"/>
      <c r="D712" s="1"/>
    </row>
    <row r="713" ht="15.75" customHeight="1">
      <c r="B713" s="1"/>
      <c r="C713" s="1"/>
      <c r="D713" s="1"/>
    </row>
    <row r="714" ht="15.75" customHeight="1">
      <c r="B714" s="1"/>
      <c r="C714" s="1"/>
      <c r="D714" s="1"/>
    </row>
    <row r="715" ht="15.75" customHeight="1">
      <c r="B715" s="1"/>
      <c r="C715" s="1"/>
      <c r="D715" s="1"/>
    </row>
    <row r="716" ht="15.75" customHeight="1">
      <c r="B716" s="1"/>
      <c r="C716" s="1"/>
      <c r="D716" s="1"/>
    </row>
    <row r="717" ht="15.75" customHeight="1">
      <c r="B717" s="1"/>
      <c r="C717" s="1"/>
      <c r="D717" s="1"/>
    </row>
    <row r="718" ht="15.75" customHeight="1">
      <c r="B718" s="1"/>
      <c r="C718" s="1"/>
      <c r="D718" s="1"/>
    </row>
    <row r="719" ht="15.75" customHeight="1">
      <c r="B719" s="1"/>
      <c r="C719" s="1"/>
      <c r="D719" s="1"/>
    </row>
    <row r="720" ht="15.75" customHeight="1">
      <c r="B720" s="1"/>
      <c r="C720" s="1"/>
      <c r="D720" s="1"/>
    </row>
    <row r="721" ht="15.75" customHeight="1">
      <c r="B721" s="1"/>
      <c r="C721" s="1"/>
      <c r="D721" s="1"/>
    </row>
    <row r="722" ht="15.75" customHeight="1">
      <c r="B722" s="1"/>
      <c r="C722" s="1"/>
      <c r="D722" s="1"/>
    </row>
    <row r="723" ht="15.75" customHeight="1">
      <c r="B723" s="1"/>
      <c r="C723" s="1"/>
      <c r="D723" s="1"/>
    </row>
    <row r="724" ht="15.75" customHeight="1">
      <c r="B724" s="1"/>
      <c r="C724" s="1"/>
      <c r="D724" s="1"/>
    </row>
    <row r="725" ht="15.75" customHeight="1">
      <c r="B725" s="1"/>
      <c r="C725" s="1"/>
      <c r="D725" s="1"/>
    </row>
    <row r="726" ht="15.75" customHeight="1">
      <c r="B726" s="1"/>
      <c r="C726" s="1"/>
      <c r="D726" s="1"/>
    </row>
    <row r="727" ht="15.75" customHeight="1">
      <c r="B727" s="1"/>
      <c r="C727" s="1"/>
      <c r="D727" s="1"/>
    </row>
    <row r="728" ht="15.75" customHeight="1">
      <c r="B728" s="1"/>
      <c r="C728" s="1"/>
      <c r="D728" s="1"/>
    </row>
    <row r="729" ht="15.75" customHeight="1">
      <c r="B729" s="1"/>
      <c r="C729" s="1"/>
      <c r="D729" s="1"/>
    </row>
    <row r="730" ht="15.75" customHeight="1">
      <c r="B730" s="1"/>
      <c r="C730" s="1"/>
      <c r="D730" s="1"/>
    </row>
    <row r="731" ht="15.75" customHeight="1">
      <c r="B731" s="1"/>
      <c r="C731" s="1"/>
      <c r="D731" s="1"/>
    </row>
    <row r="732" ht="15.75" customHeight="1">
      <c r="B732" s="1"/>
      <c r="C732" s="1"/>
      <c r="D732" s="1"/>
    </row>
    <row r="733" ht="15.75" customHeight="1">
      <c r="B733" s="1"/>
      <c r="C733" s="1"/>
      <c r="D733" s="1"/>
    </row>
    <row r="734" ht="15.75" customHeight="1">
      <c r="B734" s="1"/>
      <c r="C734" s="1"/>
      <c r="D734" s="1"/>
    </row>
    <row r="735" ht="15.75" customHeight="1">
      <c r="B735" s="1"/>
      <c r="C735" s="1"/>
      <c r="D735" s="1"/>
    </row>
    <row r="736" ht="15.75" customHeight="1">
      <c r="B736" s="1"/>
      <c r="C736" s="1"/>
      <c r="D736" s="1"/>
    </row>
    <row r="737" ht="15.75" customHeight="1">
      <c r="B737" s="1"/>
      <c r="C737" s="1"/>
      <c r="D737" s="1"/>
    </row>
    <row r="738" ht="15.75" customHeight="1">
      <c r="B738" s="1"/>
      <c r="C738" s="1"/>
      <c r="D738" s="1"/>
    </row>
    <row r="739" ht="15.75" customHeight="1">
      <c r="B739" s="1"/>
      <c r="C739" s="1"/>
      <c r="D739" s="1"/>
    </row>
    <row r="740" ht="15.75" customHeight="1">
      <c r="B740" s="1"/>
      <c r="C740" s="1"/>
      <c r="D740" s="1"/>
    </row>
    <row r="741" ht="15.75" customHeight="1">
      <c r="B741" s="1"/>
      <c r="C741" s="1"/>
      <c r="D741" s="1"/>
    </row>
    <row r="742" ht="15.75" customHeight="1">
      <c r="B742" s="1"/>
      <c r="C742" s="1"/>
      <c r="D742" s="1"/>
    </row>
    <row r="743" ht="15.75" customHeight="1">
      <c r="B743" s="1"/>
      <c r="C743" s="1"/>
      <c r="D743" s="1"/>
    </row>
    <row r="744" ht="15.75" customHeight="1">
      <c r="B744" s="1"/>
      <c r="C744" s="1"/>
      <c r="D744" s="1"/>
    </row>
    <row r="745" ht="15.75" customHeight="1">
      <c r="B745" s="1"/>
      <c r="C745" s="1"/>
      <c r="D745" s="1"/>
    </row>
    <row r="746" ht="15.75" customHeight="1">
      <c r="B746" s="1"/>
      <c r="C746" s="1"/>
      <c r="D746" s="1"/>
    </row>
    <row r="747" ht="15.75" customHeight="1">
      <c r="B747" s="1"/>
      <c r="C747" s="1"/>
      <c r="D747" s="1"/>
    </row>
    <row r="748" ht="15.75" customHeight="1">
      <c r="B748" s="1"/>
      <c r="C748" s="1"/>
      <c r="D748" s="1"/>
    </row>
    <row r="749" ht="15.75" customHeight="1">
      <c r="B749" s="1"/>
      <c r="C749" s="1"/>
      <c r="D749" s="1"/>
    </row>
    <row r="750" ht="15.75" customHeight="1">
      <c r="B750" s="1"/>
      <c r="C750" s="1"/>
      <c r="D750" s="1"/>
    </row>
    <row r="751" ht="15.75" customHeight="1">
      <c r="B751" s="1"/>
      <c r="C751" s="1"/>
      <c r="D751" s="1"/>
    </row>
    <row r="752" ht="15.75" customHeight="1">
      <c r="B752" s="1"/>
      <c r="C752" s="1"/>
      <c r="D752" s="1"/>
    </row>
    <row r="753" ht="15.75" customHeight="1">
      <c r="B753" s="1"/>
      <c r="C753" s="1"/>
      <c r="D753" s="1"/>
    </row>
    <row r="754" ht="15.75" customHeight="1">
      <c r="B754" s="1"/>
      <c r="C754" s="1"/>
      <c r="D754" s="1"/>
    </row>
    <row r="755" ht="15.75" customHeight="1">
      <c r="B755" s="1"/>
      <c r="C755" s="1"/>
      <c r="D755" s="1"/>
    </row>
    <row r="756" ht="15.75" customHeight="1">
      <c r="B756" s="1"/>
      <c r="C756" s="1"/>
      <c r="D756" s="1"/>
    </row>
    <row r="757" ht="15.75" customHeight="1">
      <c r="B757" s="1"/>
      <c r="C757" s="1"/>
      <c r="D757" s="1"/>
    </row>
    <row r="758" ht="15.75" customHeight="1">
      <c r="B758" s="1"/>
      <c r="C758" s="1"/>
      <c r="D758" s="1"/>
    </row>
    <row r="759" ht="15.75" customHeight="1">
      <c r="B759" s="1"/>
      <c r="C759" s="1"/>
      <c r="D759" s="1"/>
    </row>
    <row r="760" ht="15.75" customHeight="1">
      <c r="B760" s="1"/>
      <c r="C760" s="1"/>
      <c r="D760" s="1"/>
    </row>
    <row r="761" ht="15.75" customHeight="1">
      <c r="B761" s="1"/>
      <c r="C761" s="1"/>
      <c r="D761" s="1"/>
    </row>
    <row r="762" ht="15.75" customHeight="1">
      <c r="B762" s="1"/>
      <c r="C762" s="1"/>
      <c r="D762" s="1"/>
    </row>
    <row r="763" ht="15.75" customHeight="1">
      <c r="B763" s="1"/>
      <c r="C763" s="1"/>
      <c r="D763" s="1"/>
    </row>
    <row r="764" ht="15.75" customHeight="1">
      <c r="B764" s="1"/>
      <c r="C764" s="1"/>
      <c r="D764" s="1"/>
    </row>
    <row r="765" ht="15.75" customHeight="1">
      <c r="B765" s="1"/>
      <c r="C765" s="1"/>
      <c r="D765" s="1"/>
    </row>
    <row r="766" ht="15.75" customHeight="1">
      <c r="B766" s="1"/>
      <c r="C766" s="1"/>
      <c r="D766" s="1"/>
    </row>
    <row r="767" ht="15.75" customHeight="1">
      <c r="B767" s="1"/>
      <c r="C767" s="1"/>
      <c r="D767" s="1"/>
    </row>
    <row r="768" ht="15.75" customHeight="1">
      <c r="B768" s="1"/>
      <c r="C768" s="1"/>
      <c r="D768" s="1"/>
    </row>
    <row r="769" ht="15.75" customHeight="1">
      <c r="B769" s="1"/>
      <c r="C769" s="1"/>
      <c r="D769" s="1"/>
    </row>
    <row r="770" ht="15.75" customHeight="1">
      <c r="B770" s="1"/>
      <c r="C770" s="1"/>
      <c r="D770" s="1"/>
    </row>
    <row r="771" ht="15.75" customHeight="1">
      <c r="B771" s="1"/>
      <c r="C771" s="1"/>
      <c r="D771" s="1"/>
    </row>
    <row r="772" ht="15.75" customHeight="1">
      <c r="B772" s="1"/>
      <c r="C772" s="1"/>
      <c r="D772" s="1"/>
    </row>
    <row r="773" ht="15.75" customHeight="1">
      <c r="B773" s="1"/>
      <c r="C773" s="1"/>
      <c r="D773" s="1"/>
    </row>
    <row r="774" ht="15.75" customHeight="1">
      <c r="B774" s="1"/>
      <c r="C774" s="1"/>
      <c r="D774" s="1"/>
    </row>
    <row r="775" ht="15.75" customHeight="1">
      <c r="B775" s="1"/>
      <c r="C775" s="1"/>
      <c r="D775" s="1"/>
    </row>
    <row r="776" ht="15.75" customHeight="1">
      <c r="B776" s="1"/>
      <c r="C776" s="1"/>
      <c r="D776" s="1"/>
    </row>
    <row r="777" ht="15.75" customHeight="1">
      <c r="B777" s="1"/>
      <c r="C777" s="1"/>
      <c r="D777" s="1"/>
    </row>
    <row r="778" ht="15.75" customHeight="1">
      <c r="B778" s="1"/>
      <c r="C778" s="1"/>
      <c r="D778" s="1"/>
    </row>
    <row r="779" ht="15.75" customHeight="1">
      <c r="B779" s="1"/>
      <c r="C779" s="1"/>
      <c r="D779" s="1"/>
    </row>
    <row r="780" ht="15.75" customHeight="1">
      <c r="B780" s="1"/>
      <c r="C780" s="1"/>
      <c r="D780" s="1"/>
    </row>
    <row r="781" ht="15.75" customHeight="1">
      <c r="B781" s="1"/>
      <c r="C781" s="1"/>
      <c r="D781" s="1"/>
    </row>
    <row r="782" ht="15.75" customHeight="1">
      <c r="B782" s="1"/>
      <c r="C782" s="1"/>
      <c r="D782" s="1"/>
    </row>
    <row r="783" ht="15.75" customHeight="1">
      <c r="B783" s="1"/>
      <c r="C783" s="1"/>
      <c r="D783" s="1"/>
    </row>
    <row r="784" ht="15.75" customHeight="1">
      <c r="B784" s="1"/>
      <c r="C784" s="1"/>
      <c r="D784" s="1"/>
    </row>
    <row r="785" ht="15.75" customHeight="1">
      <c r="B785" s="1"/>
      <c r="C785" s="1"/>
      <c r="D785" s="1"/>
    </row>
    <row r="786" ht="15.75" customHeight="1">
      <c r="B786" s="1"/>
      <c r="C786" s="1"/>
      <c r="D786" s="1"/>
    </row>
    <row r="787" ht="15.75" customHeight="1">
      <c r="B787" s="1"/>
      <c r="C787" s="1"/>
      <c r="D787" s="1"/>
    </row>
    <row r="788" ht="15.75" customHeight="1">
      <c r="B788" s="1"/>
      <c r="C788" s="1"/>
      <c r="D788" s="1"/>
    </row>
    <row r="789" ht="15.75" customHeight="1">
      <c r="B789" s="1"/>
      <c r="C789" s="1"/>
      <c r="D789" s="1"/>
    </row>
    <row r="790" ht="15.75" customHeight="1">
      <c r="B790" s="1"/>
      <c r="C790" s="1"/>
      <c r="D790" s="1"/>
    </row>
    <row r="791" ht="15.75" customHeight="1">
      <c r="B791" s="1"/>
      <c r="C791" s="1"/>
      <c r="D791" s="1"/>
    </row>
    <row r="792" ht="15.75" customHeight="1">
      <c r="B792" s="1"/>
      <c r="C792" s="1"/>
      <c r="D792" s="1"/>
    </row>
    <row r="793" ht="15.75" customHeight="1">
      <c r="B793" s="1"/>
      <c r="C793" s="1"/>
      <c r="D793" s="1"/>
    </row>
    <row r="794" ht="15.75" customHeight="1">
      <c r="B794" s="1"/>
      <c r="C794" s="1"/>
      <c r="D794" s="1"/>
    </row>
    <row r="795" ht="15.75" customHeight="1">
      <c r="B795" s="1"/>
      <c r="C795" s="1"/>
      <c r="D795" s="1"/>
    </row>
    <row r="796" ht="15.75" customHeight="1">
      <c r="B796" s="1"/>
      <c r="C796" s="1"/>
      <c r="D796" s="1"/>
    </row>
    <row r="797" ht="15.75" customHeight="1">
      <c r="B797" s="1"/>
      <c r="C797" s="1"/>
      <c r="D797" s="1"/>
    </row>
    <row r="798" ht="15.75" customHeight="1">
      <c r="B798" s="1"/>
      <c r="C798" s="1"/>
      <c r="D798" s="1"/>
    </row>
    <row r="799" ht="15.75" customHeight="1">
      <c r="B799" s="1"/>
      <c r="C799" s="1"/>
      <c r="D799" s="1"/>
    </row>
    <row r="800" ht="15.75" customHeight="1">
      <c r="B800" s="1"/>
      <c r="C800" s="1"/>
      <c r="D800" s="1"/>
    </row>
    <row r="801" ht="15.75" customHeight="1">
      <c r="B801" s="1"/>
      <c r="C801" s="1"/>
      <c r="D801" s="1"/>
    </row>
    <row r="802" ht="15.75" customHeight="1">
      <c r="B802" s="1"/>
      <c r="C802" s="1"/>
      <c r="D802" s="1"/>
    </row>
    <row r="803" ht="15.75" customHeight="1">
      <c r="B803" s="1"/>
      <c r="C803" s="1"/>
      <c r="D803" s="1"/>
    </row>
    <row r="804" ht="15.75" customHeight="1">
      <c r="B804" s="1"/>
      <c r="C804" s="1"/>
      <c r="D804" s="1"/>
    </row>
    <row r="805" ht="15.75" customHeight="1">
      <c r="B805" s="1"/>
      <c r="C805" s="1"/>
      <c r="D805" s="1"/>
    </row>
    <row r="806" ht="15.75" customHeight="1">
      <c r="B806" s="1"/>
      <c r="C806" s="1"/>
      <c r="D806" s="1"/>
    </row>
    <row r="807" ht="15.75" customHeight="1">
      <c r="B807" s="1"/>
      <c r="C807" s="1"/>
      <c r="D807" s="1"/>
    </row>
    <row r="808" ht="15.75" customHeight="1">
      <c r="B808" s="1"/>
      <c r="C808" s="1"/>
      <c r="D808" s="1"/>
    </row>
    <row r="809" ht="15.75" customHeight="1">
      <c r="B809" s="1"/>
      <c r="C809" s="1"/>
      <c r="D809" s="1"/>
    </row>
    <row r="810" ht="15.75" customHeight="1">
      <c r="B810" s="1"/>
      <c r="C810" s="1"/>
      <c r="D810" s="1"/>
    </row>
    <row r="811" ht="15.75" customHeight="1">
      <c r="B811" s="1"/>
      <c r="C811" s="1"/>
      <c r="D811" s="1"/>
    </row>
    <row r="812" ht="15.75" customHeight="1">
      <c r="B812" s="1"/>
      <c r="C812" s="1"/>
      <c r="D812" s="1"/>
    </row>
    <row r="813" ht="15.75" customHeight="1">
      <c r="B813" s="1"/>
      <c r="C813" s="1"/>
      <c r="D813" s="1"/>
    </row>
    <row r="814" ht="15.75" customHeight="1">
      <c r="B814" s="1"/>
      <c r="C814" s="1"/>
      <c r="D814" s="1"/>
    </row>
    <row r="815" ht="15.75" customHeight="1">
      <c r="B815" s="1"/>
      <c r="C815" s="1"/>
      <c r="D815" s="1"/>
    </row>
    <row r="816" ht="15.75" customHeight="1">
      <c r="B816" s="1"/>
      <c r="C816" s="1"/>
      <c r="D816" s="1"/>
    </row>
    <row r="817" ht="15.75" customHeight="1">
      <c r="B817" s="1"/>
      <c r="C817" s="1"/>
      <c r="D817" s="1"/>
    </row>
    <row r="818" ht="15.75" customHeight="1">
      <c r="B818" s="1"/>
      <c r="C818" s="1"/>
      <c r="D818" s="1"/>
    </row>
    <row r="819" ht="15.75" customHeight="1">
      <c r="B819" s="1"/>
      <c r="C819" s="1"/>
      <c r="D819" s="1"/>
    </row>
    <row r="820" ht="15.75" customHeight="1">
      <c r="B820" s="1"/>
      <c r="C820" s="1"/>
      <c r="D820" s="1"/>
    </row>
    <row r="821" ht="15.75" customHeight="1">
      <c r="B821" s="1"/>
      <c r="C821" s="1"/>
      <c r="D821" s="1"/>
    </row>
    <row r="822" ht="15.75" customHeight="1">
      <c r="B822" s="1"/>
      <c r="C822" s="1"/>
      <c r="D822" s="1"/>
    </row>
    <row r="823" ht="15.75" customHeight="1">
      <c r="B823" s="1"/>
      <c r="C823" s="1"/>
      <c r="D823" s="1"/>
    </row>
    <row r="824" ht="15.75" customHeight="1">
      <c r="B824" s="1"/>
      <c r="C824" s="1"/>
      <c r="D824" s="1"/>
    </row>
    <row r="825" ht="15.75" customHeight="1">
      <c r="B825" s="1"/>
      <c r="C825" s="1"/>
      <c r="D825" s="1"/>
    </row>
    <row r="826" ht="15.75" customHeight="1">
      <c r="B826" s="1"/>
      <c r="C826" s="1"/>
      <c r="D826" s="1"/>
    </row>
    <row r="827" ht="15.75" customHeight="1">
      <c r="B827" s="1"/>
      <c r="C827" s="1"/>
      <c r="D827" s="1"/>
    </row>
    <row r="828" ht="15.75" customHeight="1">
      <c r="B828" s="1"/>
      <c r="C828" s="1"/>
      <c r="D828" s="1"/>
    </row>
    <row r="829" ht="15.75" customHeight="1">
      <c r="B829" s="1"/>
      <c r="C829" s="1"/>
      <c r="D829" s="1"/>
    </row>
    <row r="830" ht="15.75" customHeight="1">
      <c r="B830" s="1"/>
      <c r="C830" s="1"/>
      <c r="D830" s="1"/>
    </row>
    <row r="831" ht="15.75" customHeight="1">
      <c r="B831" s="1"/>
      <c r="C831" s="1"/>
      <c r="D831" s="1"/>
    </row>
    <row r="832" ht="15.75" customHeight="1">
      <c r="B832" s="1"/>
      <c r="C832" s="1"/>
      <c r="D832" s="1"/>
    </row>
    <row r="833" ht="15.75" customHeight="1">
      <c r="B833" s="1"/>
      <c r="C833" s="1"/>
      <c r="D833" s="1"/>
    </row>
    <row r="834" ht="15.75" customHeight="1">
      <c r="B834" s="1"/>
      <c r="C834" s="1"/>
      <c r="D834" s="1"/>
    </row>
    <row r="835" ht="15.75" customHeight="1">
      <c r="B835" s="1"/>
      <c r="C835" s="1"/>
      <c r="D835" s="1"/>
    </row>
    <row r="836" ht="15.75" customHeight="1">
      <c r="B836" s="1"/>
      <c r="C836" s="1"/>
      <c r="D836" s="1"/>
    </row>
    <row r="837" ht="15.75" customHeight="1">
      <c r="B837" s="1"/>
      <c r="C837" s="1"/>
      <c r="D837" s="1"/>
    </row>
    <row r="838" ht="15.75" customHeight="1">
      <c r="B838" s="1"/>
      <c r="C838" s="1"/>
      <c r="D838" s="1"/>
    </row>
    <row r="839" ht="15.75" customHeight="1">
      <c r="B839" s="1"/>
      <c r="C839" s="1"/>
      <c r="D839" s="1"/>
    </row>
    <row r="840" ht="15.75" customHeight="1">
      <c r="B840" s="1"/>
      <c r="C840" s="1"/>
      <c r="D840" s="1"/>
    </row>
    <row r="841" ht="15.75" customHeight="1">
      <c r="B841" s="1"/>
      <c r="C841" s="1"/>
      <c r="D841" s="1"/>
    </row>
    <row r="842" ht="15.75" customHeight="1">
      <c r="B842" s="1"/>
      <c r="C842" s="1"/>
      <c r="D842" s="1"/>
    </row>
    <row r="843" ht="15.75" customHeight="1">
      <c r="B843" s="1"/>
      <c r="C843" s="1"/>
      <c r="D843" s="1"/>
    </row>
    <row r="844" ht="15.75" customHeight="1">
      <c r="B844" s="1"/>
      <c r="C844" s="1"/>
      <c r="D844" s="1"/>
    </row>
    <row r="845" ht="15.75" customHeight="1">
      <c r="B845" s="1"/>
      <c r="C845" s="1"/>
      <c r="D845" s="1"/>
    </row>
    <row r="846" ht="15.75" customHeight="1">
      <c r="B846" s="1"/>
      <c r="C846" s="1"/>
      <c r="D846" s="1"/>
    </row>
    <row r="847" ht="15.75" customHeight="1">
      <c r="B847" s="1"/>
      <c r="C847" s="1"/>
      <c r="D847" s="1"/>
    </row>
    <row r="848" ht="15.75" customHeight="1">
      <c r="B848" s="1"/>
      <c r="C848" s="1"/>
      <c r="D848" s="1"/>
    </row>
    <row r="849" ht="15.75" customHeight="1">
      <c r="B849" s="1"/>
      <c r="C849" s="1"/>
      <c r="D849" s="1"/>
    </row>
    <row r="850" ht="15.75" customHeight="1">
      <c r="B850" s="1"/>
      <c r="C850" s="1"/>
      <c r="D850" s="1"/>
    </row>
    <row r="851" ht="15.75" customHeight="1">
      <c r="B851" s="1"/>
      <c r="C851" s="1"/>
      <c r="D851" s="1"/>
    </row>
    <row r="852" ht="15.75" customHeight="1">
      <c r="B852" s="1"/>
      <c r="C852" s="1"/>
      <c r="D852" s="1"/>
    </row>
    <row r="853" ht="15.75" customHeight="1">
      <c r="B853" s="1"/>
      <c r="C853" s="1"/>
      <c r="D853" s="1"/>
    </row>
    <row r="854" ht="15.75" customHeight="1">
      <c r="B854" s="1"/>
      <c r="C854" s="1"/>
      <c r="D854" s="1"/>
    </row>
    <row r="855" ht="15.75" customHeight="1">
      <c r="B855" s="1"/>
      <c r="C855" s="1"/>
      <c r="D855" s="1"/>
    </row>
    <row r="856" ht="15.75" customHeight="1">
      <c r="B856" s="1"/>
      <c r="C856" s="1"/>
      <c r="D856" s="1"/>
    </row>
    <row r="857" ht="15.75" customHeight="1">
      <c r="B857" s="1"/>
      <c r="C857" s="1"/>
      <c r="D857" s="1"/>
    </row>
    <row r="858" ht="15.75" customHeight="1">
      <c r="B858" s="1"/>
      <c r="C858" s="1"/>
      <c r="D858" s="1"/>
    </row>
    <row r="859" ht="15.75" customHeight="1">
      <c r="B859" s="1"/>
      <c r="C859" s="1"/>
      <c r="D859" s="1"/>
    </row>
    <row r="860" ht="15.75" customHeight="1">
      <c r="B860" s="1"/>
      <c r="C860" s="1"/>
      <c r="D860" s="1"/>
    </row>
    <row r="861" ht="15.75" customHeight="1">
      <c r="B861" s="1"/>
      <c r="C861" s="1"/>
      <c r="D861" s="1"/>
    </row>
    <row r="862" ht="15.75" customHeight="1">
      <c r="B862" s="1"/>
      <c r="C862" s="1"/>
      <c r="D862" s="1"/>
    </row>
    <row r="863" ht="15.75" customHeight="1">
      <c r="B863" s="1"/>
      <c r="C863" s="1"/>
      <c r="D863" s="1"/>
    </row>
    <row r="864" ht="15.75" customHeight="1">
      <c r="B864" s="1"/>
      <c r="C864" s="1"/>
      <c r="D864" s="1"/>
    </row>
    <row r="865" ht="15.75" customHeight="1">
      <c r="B865" s="1"/>
      <c r="C865" s="1"/>
      <c r="D865" s="1"/>
    </row>
    <row r="866" ht="15.75" customHeight="1">
      <c r="B866" s="1"/>
      <c r="C866" s="1"/>
      <c r="D866" s="1"/>
    </row>
    <row r="867" ht="15.75" customHeight="1">
      <c r="B867" s="1"/>
      <c r="C867" s="1"/>
      <c r="D867" s="1"/>
    </row>
    <row r="868" ht="15.75" customHeight="1">
      <c r="B868" s="1"/>
      <c r="C868" s="1"/>
      <c r="D868" s="1"/>
    </row>
    <row r="869" ht="15.75" customHeight="1">
      <c r="B869" s="1"/>
      <c r="C869" s="1"/>
      <c r="D869" s="1"/>
    </row>
    <row r="870" ht="15.75" customHeight="1">
      <c r="B870" s="1"/>
      <c r="C870" s="1"/>
      <c r="D870" s="1"/>
    </row>
    <row r="871" ht="15.75" customHeight="1">
      <c r="B871" s="1"/>
      <c r="C871" s="1"/>
      <c r="D871" s="1"/>
    </row>
    <row r="872" ht="15.75" customHeight="1">
      <c r="B872" s="1"/>
      <c r="C872" s="1"/>
      <c r="D872" s="1"/>
    </row>
    <row r="873" ht="15.75" customHeight="1">
      <c r="B873" s="1"/>
      <c r="C873" s="1"/>
      <c r="D873" s="1"/>
    </row>
    <row r="874" ht="15.75" customHeight="1">
      <c r="B874" s="1"/>
      <c r="C874" s="1"/>
      <c r="D874" s="1"/>
    </row>
    <row r="875" ht="15.75" customHeight="1">
      <c r="B875" s="1"/>
      <c r="C875" s="1"/>
      <c r="D875" s="1"/>
    </row>
    <row r="876" ht="15.75" customHeight="1">
      <c r="B876" s="1"/>
      <c r="C876" s="1"/>
      <c r="D876" s="1"/>
    </row>
    <row r="877" ht="15.75" customHeight="1">
      <c r="B877" s="1"/>
      <c r="C877" s="1"/>
      <c r="D877" s="1"/>
    </row>
    <row r="878" ht="15.75" customHeight="1">
      <c r="B878" s="1"/>
      <c r="C878" s="1"/>
      <c r="D878" s="1"/>
    </row>
    <row r="879" ht="15.75" customHeight="1">
      <c r="B879" s="1"/>
      <c r="C879" s="1"/>
      <c r="D879" s="1"/>
    </row>
    <row r="880" ht="15.75" customHeight="1">
      <c r="B880" s="1"/>
      <c r="C880" s="1"/>
      <c r="D880" s="1"/>
    </row>
    <row r="881" ht="15.75" customHeight="1">
      <c r="B881" s="1"/>
      <c r="C881" s="1"/>
      <c r="D881" s="1"/>
    </row>
    <row r="882" ht="15.75" customHeight="1">
      <c r="B882" s="1"/>
      <c r="C882" s="1"/>
      <c r="D882" s="1"/>
    </row>
    <row r="883" ht="15.75" customHeight="1">
      <c r="B883" s="1"/>
      <c r="C883" s="1"/>
      <c r="D883" s="1"/>
    </row>
    <row r="884" ht="15.75" customHeight="1">
      <c r="B884" s="1"/>
      <c r="C884" s="1"/>
      <c r="D884" s="1"/>
    </row>
    <row r="885" ht="15.75" customHeight="1">
      <c r="B885" s="1"/>
      <c r="C885" s="1"/>
      <c r="D885" s="1"/>
    </row>
    <row r="886" ht="15.75" customHeight="1">
      <c r="B886" s="1"/>
      <c r="C886" s="1"/>
      <c r="D886" s="1"/>
    </row>
    <row r="887" ht="15.75" customHeight="1">
      <c r="B887" s="1"/>
      <c r="C887" s="1"/>
      <c r="D887" s="1"/>
    </row>
    <row r="888" ht="15.75" customHeight="1">
      <c r="B888" s="1"/>
      <c r="C888" s="1"/>
      <c r="D888" s="1"/>
    </row>
    <row r="889" ht="15.75" customHeight="1">
      <c r="B889" s="1"/>
      <c r="C889" s="1"/>
      <c r="D889" s="1"/>
    </row>
    <row r="890" ht="15.75" customHeight="1">
      <c r="B890" s="1"/>
      <c r="C890" s="1"/>
      <c r="D890" s="1"/>
    </row>
    <row r="891" ht="15.75" customHeight="1">
      <c r="B891" s="1"/>
      <c r="C891" s="1"/>
      <c r="D891" s="1"/>
    </row>
    <row r="892" ht="15.75" customHeight="1">
      <c r="B892" s="1"/>
      <c r="C892" s="1"/>
      <c r="D892" s="1"/>
    </row>
    <row r="893" ht="15.75" customHeight="1">
      <c r="B893" s="1"/>
      <c r="C893" s="1"/>
      <c r="D893" s="1"/>
    </row>
    <row r="894" ht="15.75" customHeight="1">
      <c r="B894" s="1"/>
      <c r="C894" s="1"/>
      <c r="D894" s="1"/>
    </row>
    <row r="895" ht="15.75" customHeight="1">
      <c r="B895" s="1"/>
      <c r="C895" s="1"/>
      <c r="D895" s="1"/>
    </row>
    <row r="896" ht="15.75" customHeight="1">
      <c r="B896" s="1"/>
      <c r="C896" s="1"/>
      <c r="D896" s="1"/>
    </row>
    <row r="897" ht="15.75" customHeight="1">
      <c r="B897" s="1"/>
      <c r="C897" s="1"/>
      <c r="D897" s="1"/>
    </row>
    <row r="898" ht="15.75" customHeight="1">
      <c r="B898" s="1"/>
      <c r="C898" s="1"/>
      <c r="D898" s="1"/>
    </row>
    <row r="899" ht="15.75" customHeight="1">
      <c r="B899" s="1"/>
      <c r="C899" s="1"/>
      <c r="D899" s="1"/>
    </row>
    <row r="900" ht="15.75" customHeight="1">
      <c r="B900" s="1"/>
      <c r="C900" s="1"/>
      <c r="D900" s="1"/>
    </row>
    <row r="901" ht="15.75" customHeight="1">
      <c r="B901" s="1"/>
      <c r="C901" s="1"/>
      <c r="D901" s="1"/>
    </row>
    <row r="902" ht="15.75" customHeight="1">
      <c r="B902" s="1"/>
      <c r="C902" s="1"/>
      <c r="D902" s="1"/>
    </row>
    <row r="903" ht="15.75" customHeight="1">
      <c r="B903" s="1"/>
      <c r="C903" s="1"/>
      <c r="D903" s="1"/>
    </row>
    <row r="904" ht="15.75" customHeight="1">
      <c r="B904" s="1"/>
      <c r="C904" s="1"/>
      <c r="D904" s="1"/>
    </row>
    <row r="905" ht="15.75" customHeight="1">
      <c r="B905" s="1"/>
      <c r="C905" s="1"/>
      <c r="D905" s="1"/>
    </row>
    <row r="906" ht="15.75" customHeight="1">
      <c r="B906" s="1"/>
      <c r="C906" s="1"/>
      <c r="D906" s="1"/>
    </row>
    <row r="907" ht="15.75" customHeight="1">
      <c r="B907" s="1"/>
      <c r="C907" s="1"/>
      <c r="D907" s="1"/>
    </row>
    <row r="908" ht="15.75" customHeight="1">
      <c r="B908" s="1"/>
      <c r="C908" s="1"/>
      <c r="D908" s="1"/>
    </row>
    <row r="909" ht="15.75" customHeight="1">
      <c r="B909" s="1"/>
      <c r="C909" s="1"/>
      <c r="D909" s="1"/>
    </row>
    <row r="910" ht="15.75" customHeight="1">
      <c r="B910" s="1"/>
      <c r="C910" s="1"/>
      <c r="D910" s="1"/>
    </row>
    <row r="911" ht="15.75" customHeight="1">
      <c r="B911" s="1"/>
      <c r="C911" s="1"/>
      <c r="D911" s="1"/>
    </row>
    <row r="912" ht="15.75" customHeight="1">
      <c r="B912" s="1"/>
      <c r="C912" s="1"/>
      <c r="D912" s="1"/>
    </row>
    <row r="913" ht="15.75" customHeight="1">
      <c r="B913" s="1"/>
      <c r="C913" s="1"/>
      <c r="D913" s="1"/>
    </row>
    <row r="914" ht="15.75" customHeight="1">
      <c r="B914" s="1"/>
      <c r="C914" s="1"/>
      <c r="D914" s="1"/>
    </row>
    <row r="915" ht="15.75" customHeight="1">
      <c r="B915" s="1"/>
      <c r="C915" s="1"/>
      <c r="D915" s="1"/>
    </row>
    <row r="916" ht="15.75" customHeight="1">
      <c r="B916" s="1"/>
      <c r="C916" s="1"/>
      <c r="D916" s="1"/>
    </row>
    <row r="917" ht="15.75" customHeight="1">
      <c r="B917" s="1"/>
      <c r="C917" s="1"/>
      <c r="D917" s="1"/>
    </row>
    <row r="918" ht="15.75" customHeight="1">
      <c r="B918" s="1"/>
      <c r="C918" s="1"/>
      <c r="D918" s="1"/>
    </row>
    <row r="919" ht="15.75" customHeight="1">
      <c r="B919" s="1"/>
      <c r="C919" s="1"/>
      <c r="D919" s="1"/>
    </row>
    <row r="920" ht="15.75" customHeight="1">
      <c r="B920" s="1"/>
      <c r="C920" s="1"/>
      <c r="D920" s="1"/>
    </row>
    <row r="921" ht="15.75" customHeight="1">
      <c r="B921" s="1"/>
      <c r="C921" s="1"/>
      <c r="D921" s="1"/>
    </row>
    <row r="922" ht="15.75" customHeight="1">
      <c r="B922" s="1"/>
      <c r="C922" s="1"/>
      <c r="D922" s="1"/>
    </row>
    <row r="923" ht="15.75" customHeight="1">
      <c r="B923" s="1"/>
      <c r="C923" s="1"/>
      <c r="D923" s="1"/>
    </row>
    <row r="924" ht="15.75" customHeight="1">
      <c r="B924" s="1"/>
      <c r="C924" s="1"/>
      <c r="D924" s="1"/>
    </row>
    <row r="925" ht="15.75" customHeight="1">
      <c r="B925" s="1"/>
      <c r="C925" s="1"/>
      <c r="D925" s="1"/>
    </row>
    <row r="926" ht="15.75" customHeight="1">
      <c r="B926" s="1"/>
      <c r="C926" s="1"/>
      <c r="D926" s="1"/>
    </row>
    <row r="927" ht="15.75" customHeight="1">
      <c r="B927" s="1"/>
      <c r="C927" s="1"/>
      <c r="D927" s="1"/>
    </row>
    <row r="928" ht="15.75" customHeight="1">
      <c r="B928" s="1"/>
      <c r="C928" s="1"/>
      <c r="D928" s="1"/>
    </row>
    <row r="929" ht="15.75" customHeight="1">
      <c r="B929" s="1"/>
      <c r="C929" s="1"/>
      <c r="D929" s="1"/>
    </row>
    <row r="930" ht="15.75" customHeight="1">
      <c r="B930" s="1"/>
      <c r="C930" s="1"/>
      <c r="D930" s="1"/>
    </row>
    <row r="931" ht="15.75" customHeight="1">
      <c r="B931" s="1"/>
      <c r="C931" s="1"/>
      <c r="D931" s="1"/>
    </row>
    <row r="932" ht="15.75" customHeight="1">
      <c r="B932" s="1"/>
      <c r="C932" s="1"/>
      <c r="D932" s="1"/>
    </row>
    <row r="933" ht="15.75" customHeight="1">
      <c r="B933" s="1"/>
      <c r="C933" s="1"/>
      <c r="D933" s="1"/>
    </row>
    <row r="934" ht="15.75" customHeight="1">
      <c r="B934" s="1"/>
      <c r="C934" s="1"/>
      <c r="D934" s="1"/>
    </row>
    <row r="935" ht="15.75" customHeight="1">
      <c r="B935" s="1"/>
      <c r="C935" s="1"/>
      <c r="D935" s="1"/>
    </row>
    <row r="936" ht="15.75" customHeight="1">
      <c r="B936" s="1"/>
      <c r="C936" s="1"/>
      <c r="D936" s="1"/>
    </row>
    <row r="937" ht="15.75" customHeight="1">
      <c r="B937" s="1"/>
      <c r="C937" s="1"/>
      <c r="D937" s="1"/>
    </row>
    <row r="938" ht="15.75" customHeight="1">
      <c r="B938" s="1"/>
      <c r="C938" s="1"/>
      <c r="D938" s="1"/>
    </row>
    <row r="939" ht="15.75" customHeight="1">
      <c r="B939" s="1"/>
      <c r="C939" s="1"/>
      <c r="D939" s="1"/>
    </row>
    <row r="940" ht="15.75" customHeight="1">
      <c r="B940" s="1"/>
      <c r="C940" s="1"/>
      <c r="D940" s="1"/>
    </row>
    <row r="941" ht="15.75" customHeight="1">
      <c r="B941" s="1"/>
      <c r="C941" s="1"/>
      <c r="D941" s="1"/>
    </row>
    <row r="942" ht="15.75" customHeight="1">
      <c r="B942" s="1"/>
      <c r="C942" s="1"/>
      <c r="D942" s="1"/>
    </row>
    <row r="943" ht="15.75" customHeight="1">
      <c r="B943" s="1"/>
      <c r="C943" s="1"/>
      <c r="D943" s="1"/>
    </row>
    <row r="944" ht="15.75" customHeight="1">
      <c r="B944" s="1"/>
      <c r="C944" s="1"/>
      <c r="D944" s="1"/>
    </row>
    <row r="945" ht="15.75" customHeight="1">
      <c r="B945" s="1"/>
      <c r="C945" s="1"/>
      <c r="D945" s="1"/>
    </row>
    <row r="946" ht="15.75" customHeight="1">
      <c r="B946" s="1"/>
      <c r="C946" s="1"/>
      <c r="D946" s="1"/>
    </row>
    <row r="947" ht="15.75" customHeight="1">
      <c r="B947" s="1"/>
      <c r="C947" s="1"/>
      <c r="D947" s="1"/>
    </row>
    <row r="948" ht="15.75" customHeight="1">
      <c r="B948" s="1"/>
      <c r="C948" s="1"/>
      <c r="D948" s="1"/>
    </row>
    <row r="949" ht="15.75" customHeight="1">
      <c r="B949" s="1"/>
      <c r="C949" s="1"/>
      <c r="D949" s="1"/>
    </row>
    <row r="950" ht="15.75" customHeight="1">
      <c r="B950" s="1"/>
      <c r="C950" s="1"/>
      <c r="D950" s="1"/>
    </row>
    <row r="951" ht="15.75" customHeight="1">
      <c r="B951" s="1"/>
      <c r="C951" s="1"/>
      <c r="D951" s="1"/>
    </row>
    <row r="952" ht="15.75" customHeight="1">
      <c r="B952" s="1"/>
      <c r="C952" s="1"/>
      <c r="D952" s="1"/>
    </row>
    <row r="953" ht="15.75" customHeight="1">
      <c r="B953" s="1"/>
      <c r="C953" s="1"/>
      <c r="D953" s="1"/>
    </row>
    <row r="954" ht="15.75" customHeight="1">
      <c r="B954" s="1"/>
      <c r="C954" s="1"/>
      <c r="D954" s="1"/>
    </row>
    <row r="955" ht="15.75" customHeight="1">
      <c r="B955" s="1"/>
      <c r="C955" s="1"/>
      <c r="D955" s="1"/>
    </row>
    <row r="956" ht="15.75" customHeight="1">
      <c r="B956" s="1"/>
      <c r="C956" s="1"/>
      <c r="D956" s="1"/>
    </row>
    <row r="957" ht="15.75" customHeight="1">
      <c r="B957" s="1"/>
      <c r="C957" s="1"/>
      <c r="D957" s="1"/>
    </row>
    <row r="958" ht="15.75" customHeight="1">
      <c r="B958" s="1"/>
      <c r="C958" s="1"/>
      <c r="D958" s="1"/>
    </row>
    <row r="959" ht="15.75" customHeight="1">
      <c r="B959" s="1"/>
      <c r="C959" s="1"/>
      <c r="D959" s="1"/>
    </row>
    <row r="960" ht="15.75" customHeight="1">
      <c r="B960" s="1"/>
      <c r="C960" s="1"/>
      <c r="D960" s="1"/>
    </row>
    <row r="961" ht="15.75" customHeight="1">
      <c r="B961" s="1"/>
      <c r="C961" s="1"/>
      <c r="D961" s="1"/>
    </row>
    <row r="962" ht="15.75" customHeight="1">
      <c r="B962" s="1"/>
      <c r="C962" s="1"/>
      <c r="D962" s="1"/>
    </row>
    <row r="963" ht="15.75" customHeight="1">
      <c r="B963" s="1"/>
      <c r="C963" s="1"/>
      <c r="D963" s="1"/>
    </row>
    <row r="964" ht="15.75" customHeight="1">
      <c r="B964" s="1"/>
      <c r="C964" s="1"/>
      <c r="D964" s="1"/>
    </row>
    <row r="965" ht="15.75" customHeight="1">
      <c r="B965" s="1"/>
      <c r="C965" s="1"/>
      <c r="D965" s="1"/>
    </row>
    <row r="966" ht="15.75" customHeight="1">
      <c r="B966" s="1"/>
      <c r="C966" s="1"/>
      <c r="D966" s="1"/>
    </row>
    <row r="967" ht="15.75" customHeight="1">
      <c r="B967" s="1"/>
      <c r="C967" s="1"/>
      <c r="D967" s="1"/>
    </row>
    <row r="968" ht="15.75" customHeight="1">
      <c r="B968" s="1"/>
      <c r="C968" s="1"/>
      <c r="D968" s="1"/>
    </row>
    <row r="969" ht="15.75" customHeight="1">
      <c r="B969" s="1"/>
      <c r="C969" s="1"/>
      <c r="D969" s="1"/>
    </row>
    <row r="970" ht="15.75" customHeight="1">
      <c r="B970" s="1"/>
      <c r="C970" s="1"/>
      <c r="D970" s="1"/>
    </row>
    <row r="971" ht="15.75" customHeight="1">
      <c r="B971" s="1"/>
      <c r="C971" s="1"/>
      <c r="D971" s="1"/>
    </row>
    <row r="972" ht="15.75" customHeight="1">
      <c r="B972" s="1"/>
      <c r="C972" s="1"/>
      <c r="D972" s="1"/>
    </row>
    <row r="973" ht="15.75" customHeight="1">
      <c r="B973" s="1"/>
      <c r="C973" s="1"/>
      <c r="D973" s="1"/>
    </row>
    <row r="974" ht="15.75" customHeight="1">
      <c r="B974" s="1"/>
      <c r="C974" s="1"/>
      <c r="D974" s="1"/>
    </row>
    <row r="975" ht="15.75" customHeight="1">
      <c r="B975" s="1"/>
      <c r="C975" s="1"/>
      <c r="D975" s="1"/>
    </row>
    <row r="976" ht="15.75" customHeight="1">
      <c r="B976" s="1"/>
      <c r="C976" s="1"/>
      <c r="D976" s="1"/>
    </row>
    <row r="977" ht="15.75" customHeight="1">
      <c r="B977" s="1"/>
      <c r="C977" s="1"/>
      <c r="D977" s="1"/>
    </row>
    <row r="978" ht="15.75" customHeight="1">
      <c r="B978" s="1"/>
      <c r="C978" s="1"/>
      <c r="D978" s="1"/>
    </row>
    <row r="979" ht="15.75" customHeight="1">
      <c r="B979" s="1"/>
      <c r="C979" s="1"/>
      <c r="D979" s="1"/>
    </row>
    <row r="980" ht="15.75" customHeight="1">
      <c r="B980" s="1"/>
      <c r="C980" s="1"/>
      <c r="D980" s="1"/>
    </row>
    <row r="981" ht="15.75" customHeight="1">
      <c r="B981" s="1"/>
      <c r="C981" s="1"/>
      <c r="D981" s="1"/>
    </row>
    <row r="982" ht="15.75" customHeight="1">
      <c r="B982" s="1"/>
      <c r="C982" s="1"/>
      <c r="D982" s="1"/>
    </row>
    <row r="983" ht="15.75" customHeight="1">
      <c r="B983" s="1"/>
      <c r="C983" s="1"/>
      <c r="D983" s="1"/>
    </row>
    <row r="984" ht="15.75" customHeight="1">
      <c r="B984" s="1"/>
      <c r="C984" s="1"/>
      <c r="D984" s="1"/>
    </row>
    <row r="985" ht="15.75" customHeight="1">
      <c r="B985" s="1"/>
      <c r="C985" s="1"/>
      <c r="D985" s="1"/>
    </row>
    <row r="986" ht="15.75" customHeight="1">
      <c r="B986" s="1"/>
      <c r="C986" s="1"/>
      <c r="D986" s="1"/>
    </row>
    <row r="987" ht="15.75" customHeight="1">
      <c r="B987" s="1"/>
      <c r="C987" s="1"/>
      <c r="D987" s="1"/>
    </row>
    <row r="988" ht="15.75" customHeight="1">
      <c r="B988" s="1"/>
      <c r="C988" s="1"/>
      <c r="D988" s="1"/>
    </row>
    <row r="989" ht="15.75" customHeight="1">
      <c r="B989" s="1"/>
      <c r="C989" s="1"/>
      <c r="D989" s="1"/>
    </row>
    <row r="990" ht="15.75" customHeight="1">
      <c r="B990" s="1"/>
      <c r="C990" s="1"/>
      <c r="D990" s="1"/>
    </row>
    <row r="991" ht="15.75" customHeight="1">
      <c r="B991" s="1"/>
      <c r="C991" s="1"/>
      <c r="D991" s="1"/>
    </row>
    <row r="992" ht="15.75" customHeight="1">
      <c r="B992" s="1"/>
      <c r="C992" s="1"/>
      <c r="D992" s="1"/>
    </row>
    <row r="993" ht="16.5"/>
    <row r="994" ht="15" customHeight="1">
      <c r="A994" s="125" t="s">
        <v>349</v>
      </c>
      <c r="B994" s="125"/>
      <c r="C994" s="125"/>
      <c r="D994" s="125"/>
      <c r="E994" s="125"/>
    </row>
    <row r="995" ht="15" customHeight="1">
      <c r="A995" s="126" t="s">
        <v>350</v>
      </c>
      <c r="B995" s="126"/>
      <c r="C995" s="126"/>
      <c r="D995" s="126"/>
      <c r="E995" s="126"/>
    </row>
    <row r="996" ht="15" customHeight="1">
      <c r="A996" s="1"/>
      <c r="B996" s="1"/>
      <c r="C996" s="1"/>
      <c r="D996" s="1"/>
      <c r="E996" s="1"/>
    </row>
    <row r="997" ht="15" customHeight="1">
      <c r="A997" s="1"/>
      <c r="B997" s="1"/>
      <c r="C997" s="1"/>
      <c r="D997" s="1"/>
      <c r="E997" s="1"/>
    </row>
  </sheetData>
  <autoFilter ref="A1:AA164">
    <filterColumn colId="3">
      <customFilters and="1">
        <customFilter operator="notEqual" val=" "/>
      </customFilters>
    </filterColumn>
  </autoFilter>
  <mergeCells count="2">
    <mergeCell ref="A994:E994"/>
    <mergeCell ref="A995:E995"/>
  </mergeCells>
  <printOptions headings="0" gridLines="0" horizontalCentered="0" verticalCentered="0"/>
  <pageMargins left="0.69999999999999996" right="0.69999999999999996" top="0.75" bottom="0.75" header="0.51181102362204689" footer="0.51181102362204689"/>
  <pageSetup paperSize="1" scale="100" fitToWidth="1" fitToHeight="1" pageOrder="downThenOver" orientation="landscape" usePrinterDefaults="1" blackAndWhite="0" draft="0" cellComments="none" useFirstPageNumber="0" errors="displayed" horizontalDpi="300" verticalDpi="300" copies="1"/>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Pr filterMode="0">
    <outlinePr applyStyles="0" summaryBelow="1" summaryRight="1" showOutlineSymbols="1"/>
    <pageSetUpPr autoPageBreaks="1" fitToPage="0"/>
  </sheetPr>
  <sheetViews>
    <sheetView showFormulas="0" showGridLines="1" showRowColHeaders="1" showZeros="1" view="normal" topLeftCell="A19" zoomScale="65" workbookViewId="0">
      <selection activeCell="F17" activeCellId="0" sqref="F17"/>
    </sheetView>
  </sheetViews>
  <sheetFormatPr defaultColWidth="11.16796875" defaultRowHeight="16.5"/>
  <cols>
    <col customWidth="1" min="2" max="2" style="2" width="13.35"/>
    <col customWidth="1" min="3" max="3" style="2" width="14.609999999999999"/>
    <col customWidth="1" min="4" max="4" style="2" width="13.99"/>
    <col customWidth="1" min="5" max="5" width="11.625"/>
    <col bestFit="1" customWidth="1" min="6" max="6" style="2" width="11.71484375"/>
  </cols>
  <sheetData>
    <row r="1" ht="15">
      <c r="A1" s="127" t="s">
        <v>351</v>
      </c>
      <c r="B1" s="128" t="s">
        <v>5</v>
      </c>
      <c r="C1" s="128" t="s">
        <v>4</v>
      </c>
      <c r="D1" s="128" t="s">
        <v>6</v>
      </c>
      <c r="E1" s="128" t="s">
        <v>352</v>
      </c>
      <c r="F1" s="128" t="s">
        <v>353</v>
      </c>
      <c r="G1" s="128" t="s">
        <v>354</v>
      </c>
      <c r="H1" s="128" t="s">
        <v>8</v>
      </c>
      <c r="I1" s="128" t="s">
        <v>355</v>
      </c>
    </row>
    <row r="2" ht="15">
      <c r="A2" s="129">
        <v>1</v>
      </c>
      <c r="B2" s="130">
        <v>44815</v>
      </c>
      <c r="C2" s="130">
        <v>44999</v>
      </c>
      <c r="D2" s="130">
        <v>45362</v>
      </c>
      <c r="E2" s="131">
        <v>45355</v>
      </c>
      <c r="F2" s="132">
        <v>1</v>
      </c>
      <c r="G2" s="129">
        <v>6.2999999999999998</v>
      </c>
      <c r="H2" s="129">
        <v>6</v>
      </c>
      <c r="I2" s="128" t="s">
        <v>28</v>
      </c>
    </row>
    <row r="3" ht="15">
      <c r="A3" s="129">
        <v>7</v>
      </c>
      <c r="B3" s="130">
        <v>44825</v>
      </c>
      <c r="C3" s="130">
        <v>45015</v>
      </c>
      <c r="D3" s="130">
        <v>45372</v>
      </c>
      <c r="E3" s="131">
        <v>45365</v>
      </c>
      <c r="F3" s="133" t="s">
        <v>356</v>
      </c>
      <c r="G3" s="129">
        <v>6.9000000000000004</v>
      </c>
      <c r="H3" s="129">
        <v>6</v>
      </c>
      <c r="I3" s="128" t="s">
        <v>31</v>
      </c>
    </row>
    <row r="4" ht="15">
      <c r="A4" s="129">
        <v>12</v>
      </c>
      <c r="B4" s="130">
        <v>44837</v>
      </c>
      <c r="C4" s="130">
        <v>45028</v>
      </c>
      <c r="D4" s="130">
        <v>45385</v>
      </c>
      <c r="E4" s="131">
        <v>45378</v>
      </c>
      <c r="F4" s="133" t="s">
        <v>356</v>
      </c>
      <c r="G4" s="129">
        <v>6.9000000000000004</v>
      </c>
      <c r="H4" s="129">
        <v>6</v>
      </c>
      <c r="I4" s="128" t="s">
        <v>31</v>
      </c>
    </row>
    <row r="5" ht="15">
      <c r="A5" s="129">
        <v>15</v>
      </c>
      <c r="B5" s="130">
        <v>44838</v>
      </c>
      <c r="C5" s="130">
        <v>45034</v>
      </c>
      <c r="D5" s="130">
        <v>45386</v>
      </c>
      <c r="E5" s="134">
        <v>45379</v>
      </c>
      <c r="F5" s="133" t="s">
        <v>356</v>
      </c>
      <c r="G5" s="129">
        <v>6.1399999999999997</v>
      </c>
      <c r="H5" s="129">
        <v>6</v>
      </c>
      <c r="I5" s="128" t="s">
        <v>31</v>
      </c>
      <c r="K5" s="135" t="s">
        <v>357</v>
      </c>
      <c r="L5" t="s">
        <v>358</v>
      </c>
    </row>
    <row r="6" ht="15">
      <c r="A6" s="129">
        <v>18</v>
      </c>
      <c r="B6" s="130">
        <v>44818</v>
      </c>
      <c r="C6" s="130">
        <v>45035</v>
      </c>
      <c r="D6" s="130">
        <v>45365</v>
      </c>
      <c r="E6" s="131">
        <v>45358</v>
      </c>
      <c r="F6" s="133" t="s">
        <v>356</v>
      </c>
      <c r="G6" s="129">
        <v>7.5</v>
      </c>
      <c r="H6" s="129">
        <v>6</v>
      </c>
      <c r="I6" s="128" t="s">
        <v>28</v>
      </c>
      <c r="K6" s="136" t="s">
        <v>359</v>
      </c>
      <c r="L6" t="s">
        <v>360</v>
      </c>
    </row>
    <row r="7" ht="15">
      <c r="A7" s="129">
        <v>21</v>
      </c>
      <c r="B7" s="130">
        <v>44841</v>
      </c>
      <c r="C7" s="130">
        <v>45037</v>
      </c>
      <c r="D7" s="130">
        <v>45389</v>
      </c>
      <c r="E7" s="131">
        <v>45382</v>
      </c>
      <c r="F7" s="132">
        <v>1</v>
      </c>
      <c r="G7" s="129">
        <v>6.1399999999999997</v>
      </c>
      <c r="H7" s="129">
        <v>6</v>
      </c>
      <c r="I7" s="128" t="s">
        <v>28</v>
      </c>
      <c r="K7" s="137" t="s">
        <v>361</v>
      </c>
      <c r="L7" t="s">
        <v>362</v>
      </c>
    </row>
    <row r="8" ht="15">
      <c r="A8" s="129">
        <v>23</v>
      </c>
      <c r="B8" s="130">
        <v>44849</v>
      </c>
      <c r="C8" s="130">
        <v>45044</v>
      </c>
      <c r="D8" s="130">
        <v>45397</v>
      </c>
      <c r="E8" s="134">
        <v>45390</v>
      </c>
      <c r="F8" s="132">
        <v>1</v>
      </c>
      <c r="G8" s="129">
        <v>6.1299999999999999</v>
      </c>
      <c r="H8" s="129">
        <v>6</v>
      </c>
      <c r="I8" s="128" t="s">
        <v>31</v>
      </c>
    </row>
    <row r="9" ht="15">
      <c r="A9" s="129">
        <v>24</v>
      </c>
      <c r="B9" s="130">
        <v>44948</v>
      </c>
      <c r="C9" s="130">
        <v>45057</v>
      </c>
      <c r="D9" s="130">
        <v>45495</v>
      </c>
      <c r="E9" s="134">
        <v>45488</v>
      </c>
      <c r="F9" s="133"/>
      <c r="G9" s="129">
        <v>3.2000000000000002</v>
      </c>
      <c r="H9" s="129">
        <v>3</v>
      </c>
      <c r="I9" s="128" t="s">
        <v>28</v>
      </c>
    </row>
    <row r="10" ht="15">
      <c r="A10" s="129">
        <v>27</v>
      </c>
      <c r="B10" s="130">
        <v>44951</v>
      </c>
      <c r="C10" s="130">
        <v>45058</v>
      </c>
      <c r="D10" s="130">
        <v>45498</v>
      </c>
      <c r="E10" s="134">
        <v>45491</v>
      </c>
      <c r="F10" s="138" t="s">
        <v>356</v>
      </c>
      <c r="G10" s="129">
        <v>3.1800000000000002</v>
      </c>
      <c r="H10" s="129">
        <v>3</v>
      </c>
      <c r="I10" s="128" t="s">
        <v>31</v>
      </c>
    </row>
    <row r="11" ht="15">
      <c r="A11" s="129">
        <v>31</v>
      </c>
      <c r="B11" s="130">
        <v>44947</v>
      </c>
      <c r="C11" s="130">
        <v>45061</v>
      </c>
      <c r="D11" s="130">
        <v>45494</v>
      </c>
      <c r="E11" s="134">
        <v>45487</v>
      </c>
      <c r="F11" s="139"/>
      <c r="G11" s="129">
        <v>3.25</v>
      </c>
      <c r="H11" s="129">
        <v>3</v>
      </c>
      <c r="I11" s="128" t="s">
        <v>28</v>
      </c>
    </row>
    <row r="12" ht="15">
      <c r="A12" s="129">
        <v>36</v>
      </c>
      <c r="B12" s="130">
        <v>44957</v>
      </c>
      <c r="C12" s="130">
        <v>45068</v>
      </c>
      <c r="D12" s="130">
        <v>45504</v>
      </c>
      <c r="E12" s="134">
        <v>45497</v>
      </c>
      <c r="F12" s="138">
        <v>1</v>
      </c>
      <c r="G12" s="129">
        <v>3.2200000000000002</v>
      </c>
      <c r="H12" s="129">
        <v>3</v>
      </c>
      <c r="I12" s="128" t="s">
        <v>31</v>
      </c>
    </row>
    <row r="13" ht="15">
      <c r="A13" s="129">
        <v>38</v>
      </c>
      <c r="B13" s="130">
        <v>44878</v>
      </c>
      <c r="C13" s="130">
        <v>45071</v>
      </c>
      <c r="D13" s="130">
        <v>45425</v>
      </c>
      <c r="E13" s="134">
        <v>45418</v>
      </c>
      <c r="F13" s="140">
        <v>1</v>
      </c>
      <c r="G13" s="129">
        <v>6.1200000000000001</v>
      </c>
      <c r="H13" s="129">
        <v>6</v>
      </c>
      <c r="I13" s="128" t="s">
        <v>28</v>
      </c>
    </row>
    <row r="14" ht="15.75" customHeight="1">
      <c r="A14" s="129">
        <v>45</v>
      </c>
      <c r="B14" s="130">
        <v>44899</v>
      </c>
      <c r="C14" s="130">
        <v>45093</v>
      </c>
      <c r="D14" s="130">
        <v>45447</v>
      </c>
      <c r="E14" s="134">
        <v>45440</v>
      </c>
      <c r="F14" s="141">
        <v>1</v>
      </c>
      <c r="G14" s="129">
        <v>6.1200000000000001</v>
      </c>
      <c r="H14" s="129">
        <v>6</v>
      </c>
      <c r="I14" s="128" t="s">
        <v>28</v>
      </c>
    </row>
    <row r="15" ht="16.5">
      <c r="A15" s="142"/>
      <c r="B15" s="143"/>
      <c r="C15" s="143"/>
      <c r="D15" s="143"/>
      <c r="E15" s="142"/>
      <c r="F15" s="143"/>
      <c r="G15" s="142"/>
      <c r="H15" s="142"/>
      <c r="I15" s="142"/>
      <c r="J15" s="142"/>
      <c r="K15" s="142"/>
      <c r="L15" s="142"/>
    </row>
    <row r="16" ht="15" customHeight="1">
      <c r="A16" s="144">
        <v>47</v>
      </c>
      <c r="B16" s="145">
        <v>45194</v>
      </c>
      <c r="C16" s="146">
        <v>45386</v>
      </c>
      <c r="D16" s="147">
        <v>45713</v>
      </c>
      <c r="E16" s="148">
        <v>45699</v>
      </c>
      <c r="F16" s="149"/>
      <c r="G16" s="144">
        <v>6.2999999999999998</v>
      </c>
      <c r="H16" s="144">
        <v>6</v>
      </c>
      <c r="I16" s="144" t="s">
        <v>28</v>
      </c>
    </row>
    <row r="17" ht="15" customHeight="1">
      <c r="A17" s="144">
        <v>52</v>
      </c>
      <c r="B17" s="150">
        <v>45214</v>
      </c>
      <c r="C17" s="147">
        <v>45406</v>
      </c>
      <c r="D17" s="147">
        <v>45762</v>
      </c>
      <c r="E17" s="148">
        <v>45748</v>
      </c>
      <c r="F17" s="151"/>
      <c r="G17" s="144">
        <v>6.2999999999999998</v>
      </c>
      <c r="H17" s="144">
        <v>6</v>
      </c>
      <c r="I17" s="144" t="s">
        <v>28</v>
      </c>
    </row>
    <row r="18" ht="16.5">
      <c r="A18" s="152">
        <v>56</v>
      </c>
      <c r="B18" s="153">
        <v>45219</v>
      </c>
      <c r="C18" s="154">
        <v>45412</v>
      </c>
      <c r="D18" s="154">
        <v>45767</v>
      </c>
      <c r="E18" s="148">
        <v>45751</v>
      </c>
      <c r="F18" s="149"/>
      <c r="G18" s="152">
        <v>6.333333333333333</v>
      </c>
      <c r="H18" s="152">
        <v>6</v>
      </c>
      <c r="I18" s="152" t="s">
        <v>363</v>
      </c>
    </row>
    <row r="19" ht="15">
      <c r="A19" s="144">
        <v>58</v>
      </c>
      <c r="B19" s="147">
        <v>45217</v>
      </c>
      <c r="C19" s="147">
        <v>45415</v>
      </c>
      <c r="D19" s="147">
        <v>45765</v>
      </c>
      <c r="E19" s="148">
        <v>45751</v>
      </c>
      <c r="F19" s="149"/>
      <c r="G19" s="144">
        <v>6.5</v>
      </c>
      <c r="H19" s="144">
        <v>6</v>
      </c>
      <c r="I19" s="144" t="s">
        <v>363</v>
      </c>
    </row>
    <row r="20" ht="15">
      <c r="A20" s="152">
        <v>61</v>
      </c>
      <c r="B20" s="153">
        <v>45310</v>
      </c>
      <c r="C20" s="154">
        <v>45419</v>
      </c>
      <c r="D20" s="154">
        <v>45857</v>
      </c>
      <c r="E20" s="122">
        <v>45842</v>
      </c>
      <c r="F20" s="2"/>
      <c r="G20" s="152">
        <v>3.6000000000000001</v>
      </c>
      <c r="H20" s="152">
        <v>3</v>
      </c>
      <c r="I20" s="152" t="s">
        <v>28</v>
      </c>
    </row>
    <row r="21" ht="16.5">
      <c r="A21" s="144">
        <v>66</v>
      </c>
      <c r="B21" s="155">
        <v>45312</v>
      </c>
      <c r="C21" s="156">
        <v>45426</v>
      </c>
      <c r="D21" s="156">
        <v>45859</v>
      </c>
      <c r="E21" s="122">
        <v>45845</v>
      </c>
      <c r="F21" s="2"/>
      <c r="G21" s="144">
        <v>3.7333333333333334</v>
      </c>
      <c r="H21" s="144">
        <v>3</v>
      </c>
      <c r="I21" s="144" t="s">
        <v>28</v>
      </c>
    </row>
    <row r="22" ht="16.5">
      <c r="A22" s="144">
        <v>68</v>
      </c>
      <c r="B22" s="155">
        <v>45242</v>
      </c>
      <c r="C22" s="156">
        <v>45427</v>
      </c>
      <c r="D22" s="156">
        <v>45789</v>
      </c>
      <c r="E22" s="148">
        <v>45805</v>
      </c>
      <c r="F22" s="149"/>
      <c r="G22" s="144">
        <v>6.0999999999999996</v>
      </c>
      <c r="H22" s="144">
        <v>6</v>
      </c>
      <c r="I22" s="144" t="s">
        <v>28</v>
      </c>
    </row>
    <row r="23" ht="16.5">
      <c r="A23" s="144">
        <v>69</v>
      </c>
      <c r="B23" s="155">
        <v>45242</v>
      </c>
      <c r="C23" s="156">
        <v>45428</v>
      </c>
      <c r="D23" s="156">
        <v>45789</v>
      </c>
      <c r="E23" s="148">
        <v>45805</v>
      </c>
      <c r="F23" s="151"/>
      <c r="G23" s="144">
        <v>6.1333333333333337</v>
      </c>
      <c r="H23" s="144">
        <v>6</v>
      </c>
      <c r="I23" s="144" t="s">
        <v>28</v>
      </c>
    </row>
    <row r="24" ht="16.5">
      <c r="A24" s="144">
        <v>70</v>
      </c>
      <c r="B24" s="155">
        <v>45236</v>
      </c>
      <c r="C24" s="156">
        <v>45428</v>
      </c>
      <c r="D24" s="156">
        <v>45783</v>
      </c>
      <c r="E24" s="148">
        <v>45769</v>
      </c>
      <c r="F24" s="151"/>
      <c r="G24" s="144">
        <v>6.333333333333333</v>
      </c>
      <c r="H24" s="144">
        <v>6</v>
      </c>
      <c r="I24" s="144" t="s">
        <v>363</v>
      </c>
    </row>
    <row r="25" ht="16.5">
      <c r="A25" s="144">
        <v>71</v>
      </c>
      <c r="B25" s="155">
        <v>45314</v>
      </c>
      <c r="C25" s="156">
        <v>45429</v>
      </c>
      <c r="D25" s="156">
        <v>45861</v>
      </c>
      <c r="E25" s="122">
        <v>45847</v>
      </c>
      <c r="F25" s="2"/>
      <c r="G25" s="144">
        <v>3.8333333333333335</v>
      </c>
      <c r="H25" s="144">
        <v>3</v>
      </c>
      <c r="I25" s="144" t="s">
        <v>363</v>
      </c>
    </row>
    <row r="26" ht="16.5">
      <c r="A26" s="144">
        <v>72</v>
      </c>
      <c r="B26" s="155">
        <v>45238</v>
      </c>
      <c r="C26" s="156">
        <v>45434</v>
      </c>
      <c r="D26" s="156">
        <v>45785</v>
      </c>
      <c r="E26" s="148">
        <v>45771</v>
      </c>
      <c r="F26" s="151"/>
      <c r="G26" s="144">
        <v>6.5</v>
      </c>
      <c r="H26" s="144">
        <v>6</v>
      </c>
      <c r="I26" s="144" t="s">
        <v>363</v>
      </c>
    </row>
    <row r="27" ht="16.5">
      <c r="A27" s="144">
        <v>74</v>
      </c>
      <c r="B27" s="155">
        <v>45248</v>
      </c>
      <c r="C27" s="156">
        <v>45440</v>
      </c>
      <c r="D27" s="156">
        <v>45795</v>
      </c>
      <c r="E27" s="122">
        <v>45779</v>
      </c>
      <c r="F27" s="149"/>
      <c r="G27" s="144">
        <v>6.333333333333333</v>
      </c>
      <c r="H27" s="144">
        <v>6</v>
      </c>
      <c r="I27" s="144" t="s">
        <v>28</v>
      </c>
    </row>
    <row r="28" ht="16.5">
      <c r="A28" s="144">
        <v>77</v>
      </c>
      <c r="B28" s="155">
        <v>45259</v>
      </c>
      <c r="C28" s="156">
        <v>45441</v>
      </c>
      <c r="D28" s="156">
        <v>45806</v>
      </c>
      <c r="E28" s="122">
        <v>45792</v>
      </c>
      <c r="F28" s="157"/>
      <c r="G28" s="144">
        <v>6</v>
      </c>
      <c r="H28" s="144">
        <v>6</v>
      </c>
      <c r="I28" s="144" t="s">
        <v>28</v>
      </c>
    </row>
    <row r="29" ht="16.5">
      <c r="A29" s="144">
        <v>78</v>
      </c>
      <c r="B29" s="155">
        <v>45255</v>
      </c>
      <c r="C29" s="156">
        <v>45446</v>
      </c>
      <c r="D29" s="156">
        <v>45802</v>
      </c>
      <c r="E29" s="122">
        <v>45786</v>
      </c>
      <c r="F29" s="157"/>
      <c r="G29" s="144">
        <v>6.2999999999999998</v>
      </c>
      <c r="H29" s="144">
        <v>6</v>
      </c>
      <c r="I29" s="144" t="s">
        <v>363</v>
      </c>
    </row>
    <row r="30" ht="16.5">
      <c r="A30" s="144">
        <v>81</v>
      </c>
      <c r="B30" s="155">
        <v>45260</v>
      </c>
      <c r="C30" s="147">
        <v>45448</v>
      </c>
      <c r="D30" s="147">
        <v>45838</v>
      </c>
      <c r="E30" s="122">
        <v>45824</v>
      </c>
      <c r="F30" s="149" t="s">
        <v>364</v>
      </c>
      <c r="G30" s="144">
        <v>6.2000000000000002</v>
      </c>
      <c r="H30" s="144">
        <v>6</v>
      </c>
      <c r="I30" s="144" t="s">
        <v>28</v>
      </c>
    </row>
    <row r="31" ht="16.5">
      <c r="A31" s="144">
        <v>88</v>
      </c>
      <c r="B31" s="150">
        <v>45295</v>
      </c>
      <c r="C31" s="147">
        <v>45477</v>
      </c>
      <c r="D31" s="147">
        <v>45842</v>
      </c>
      <c r="E31" s="122">
        <v>45828</v>
      </c>
      <c r="F31" s="2"/>
      <c r="G31" s="144"/>
      <c r="H31" s="144">
        <v>6</v>
      </c>
      <c r="I31" s="144" t="s">
        <v>28</v>
      </c>
    </row>
    <row r="32" ht="16.5">
      <c r="A32" s="144">
        <v>90</v>
      </c>
      <c r="B32" s="150">
        <v>45301</v>
      </c>
      <c r="C32" s="147">
        <v>45485</v>
      </c>
      <c r="D32" s="147">
        <v>45848</v>
      </c>
      <c r="E32" s="122">
        <v>45834</v>
      </c>
      <c r="F32" s="2"/>
      <c r="G32" s="144"/>
      <c r="H32" s="144">
        <v>6</v>
      </c>
      <c r="I32" s="144" t="s">
        <v>28</v>
      </c>
    </row>
    <row r="33" ht="16.5">
      <c r="A33" s="57">
        <v>91</v>
      </c>
      <c r="B33" s="83">
        <v>45303</v>
      </c>
      <c r="C33" s="27">
        <v>45485</v>
      </c>
      <c r="D33" s="28">
        <v>45850</v>
      </c>
      <c r="E33" s="122">
        <v>45835</v>
      </c>
      <c r="F33"/>
    </row>
    <row r="34" ht="16.5">
      <c r="A34" s="57">
        <v>92</v>
      </c>
      <c r="B34" s="83">
        <v>45308</v>
      </c>
      <c r="C34" s="27">
        <v>45497</v>
      </c>
      <c r="D34" s="28">
        <v>45855</v>
      </c>
      <c r="E34" s="122">
        <v>45811</v>
      </c>
      <c r="F34" s="158" t="s">
        <v>365</v>
      </c>
    </row>
    <row r="35" ht="16.5">
      <c r="A35" s="57">
        <v>94</v>
      </c>
      <c r="B35" s="28">
        <v>45432</v>
      </c>
      <c r="C35" s="27">
        <v>45539</v>
      </c>
      <c r="D35" s="28">
        <v>45981</v>
      </c>
      <c r="E35" s="122">
        <v>45967</v>
      </c>
      <c r="F35"/>
    </row>
    <row r="36" ht="16.5">
      <c r="A36" s="57">
        <v>96</v>
      </c>
      <c r="B36" s="28">
        <v>45425</v>
      </c>
      <c r="C36" s="27">
        <v>45544</v>
      </c>
      <c r="D36" s="28">
        <v>45974</v>
      </c>
      <c r="E36" s="122">
        <v>45960</v>
      </c>
      <c r="F36"/>
    </row>
    <row r="37" ht="16.5">
      <c r="A37" s="57">
        <v>99</v>
      </c>
      <c r="B37" s="28">
        <v>45431</v>
      </c>
      <c r="C37" s="27">
        <v>45553</v>
      </c>
      <c r="D37" s="28">
        <v>45980</v>
      </c>
      <c r="E37" s="122">
        <v>45966</v>
      </c>
      <c r="F37"/>
    </row>
    <row r="38" ht="16.5">
      <c r="A38" s="57">
        <v>100</v>
      </c>
      <c r="B38" s="28">
        <v>45435</v>
      </c>
      <c r="C38" s="27">
        <v>45554</v>
      </c>
      <c r="D38" s="28">
        <v>45984</v>
      </c>
      <c r="E38" s="122">
        <v>45968</v>
      </c>
      <c r="F38"/>
    </row>
    <row r="39" ht="16.5">
      <c r="A39" s="57">
        <v>103</v>
      </c>
      <c r="B39" s="28">
        <v>45456</v>
      </c>
      <c r="C39" s="27">
        <v>45567</v>
      </c>
      <c r="D39" s="28">
        <v>46004</v>
      </c>
      <c r="E39" s="122">
        <v>45989</v>
      </c>
      <c r="F39"/>
    </row>
    <row r="40" ht="16.5">
      <c r="A40" s="57">
        <v>104</v>
      </c>
      <c r="B40" s="28">
        <v>45446</v>
      </c>
      <c r="C40" s="27">
        <v>45568</v>
      </c>
      <c r="D40" s="28">
        <v>45994</v>
      </c>
      <c r="E40" s="122">
        <v>45980</v>
      </c>
      <c r="F40"/>
    </row>
    <row r="41" ht="16.5">
      <c r="A41" s="57">
        <v>110</v>
      </c>
      <c r="B41" s="28">
        <v>45473</v>
      </c>
      <c r="C41" s="27">
        <v>45587</v>
      </c>
      <c r="D41" s="28">
        <v>46021</v>
      </c>
      <c r="E41" s="122">
        <v>46010</v>
      </c>
      <c r="F41"/>
    </row>
    <row r="42" ht="16.5">
      <c r="A42" s="57">
        <v>118</v>
      </c>
      <c r="B42" s="28">
        <v>45490</v>
      </c>
      <c r="C42" s="27">
        <v>45614</v>
      </c>
      <c r="D42" s="28">
        <v>46039</v>
      </c>
      <c r="E42" s="122">
        <v>46010</v>
      </c>
      <c r="F42"/>
    </row>
    <row r="43" ht="16.5">
      <c r="A43" s="57">
        <v>119</v>
      </c>
      <c r="B43" s="28">
        <v>45510</v>
      </c>
      <c r="C43" s="27">
        <v>45629</v>
      </c>
      <c r="D43" s="28">
        <v>46059</v>
      </c>
      <c r="E43" s="122">
        <v>46045</v>
      </c>
      <c r="F43"/>
    </row>
    <row r="44" ht="16.5">
      <c r="A44" s="57">
        <v>120</v>
      </c>
      <c r="B44" s="28">
        <v>45520</v>
      </c>
      <c r="C44" s="27">
        <v>45629</v>
      </c>
      <c r="D44" s="28">
        <v>46069</v>
      </c>
      <c r="E44" s="122">
        <v>46055</v>
      </c>
      <c r="F44"/>
    </row>
    <row r="45" ht="16.5">
      <c r="A45" s="57">
        <v>125</v>
      </c>
      <c r="B45" s="28">
        <v>45551</v>
      </c>
      <c r="C45" s="27">
        <v>45663</v>
      </c>
      <c r="D45" s="28">
        <v>46097</v>
      </c>
      <c r="E45" s="122">
        <v>46083</v>
      </c>
      <c r="F45"/>
    </row>
    <row r="46" ht="16.5">
      <c r="A46" s="57">
        <v>127</v>
      </c>
      <c r="B46" s="28">
        <v>45550</v>
      </c>
      <c r="C46" s="27">
        <v>45666</v>
      </c>
      <c r="D46" s="28">
        <v>46096</v>
      </c>
      <c r="E46" s="122">
        <v>46083</v>
      </c>
      <c r="F46"/>
    </row>
    <row r="47" ht="16.5">
      <c r="A47" s="57">
        <v>129</v>
      </c>
      <c r="B47" s="28">
        <v>45558</v>
      </c>
      <c r="C47" s="27">
        <v>45671</v>
      </c>
      <c r="D47" s="28">
        <v>46104</v>
      </c>
      <c r="E47" s="122">
        <v>46090</v>
      </c>
      <c r="F47"/>
    </row>
    <row r="48" ht="16.5">
      <c r="A48" s="57">
        <v>130</v>
      </c>
      <c r="B48" s="105">
        <v>45559</v>
      </c>
      <c r="C48" s="27">
        <v>45673</v>
      </c>
      <c r="D48" s="28">
        <v>46105</v>
      </c>
      <c r="E48" s="122">
        <v>46091</v>
      </c>
      <c r="F48"/>
    </row>
    <row r="49" ht="16.5">
      <c r="A49" s="57">
        <v>133</v>
      </c>
      <c r="B49" s="28">
        <v>45552</v>
      </c>
      <c r="C49" s="159">
        <v>45680</v>
      </c>
      <c r="D49" s="28">
        <v>46098</v>
      </c>
      <c r="E49" s="122">
        <v>46084</v>
      </c>
      <c r="F49"/>
    </row>
    <row r="50" ht="16.5">
      <c r="A50" s="57">
        <v>134</v>
      </c>
      <c r="B50" s="28">
        <v>45573</v>
      </c>
      <c r="C50" s="27">
        <v>45684</v>
      </c>
      <c r="D50" s="28">
        <v>46120</v>
      </c>
      <c r="E50" s="122">
        <v>46106</v>
      </c>
      <c r="F50"/>
    </row>
    <row r="51" ht="16.5">
      <c r="A51" s="57">
        <v>148</v>
      </c>
      <c r="B51" s="105">
        <v>45625</v>
      </c>
      <c r="C51" s="27">
        <v>45734</v>
      </c>
      <c r="D51" s="28">
        <v>46171</v>
      </c>
      <c r="E51" s="122">
        <v>46157</v>
      </c>
      <c r="F51"/>
    </row>
    <row r="52" ht="16.5">
      <c r="B52" s="2"/>
      <c r="C52" s="2"/>
      <c r="D52" s="2"/>
      <c r="F52" s="2"/>
    </row>
    <row r="53" ht="16.5">
      <c r="B53" s="2"/>
      <c r="C53" s="2"/>
      <c r="D53" s="2"/>
      <c r="F53" s="2"/>
    </row>
    <row r="54" ht="16.5">
      <c r="B54" s="2"/>
      <c r="C54" s="2"/>
      <c r="D54" s="2"/>
      <c r="F54" s="2"/>
    </row>
    <row r="55" ht="16.5">
      <c r="B55" s="2"/>
      <c r="C55" s="2"/>
      <c r="D55" s="2"/>
      <c r="F55" s="2"/>
    </row>
    <row r="56" ht="16.5">
      <c r="B56" s="2"/>
      <c r="C56" s="2"/>
      <c r="D56" s="2"/>
      <c r="F56" s="2"/>
    </row>
    <row r="57" ht="16.5">
      <c r="B57" s="2"/>
      <c r="C57" s="2"/>
      <c r="D57" s="2"/>
      <c r="F57" s="2"/>
    </row>
    <row r="58" ht="16.5">
      <c r="B58" s="2"/>
      <c r="C58" s="2"/>
      <c r="D58" s="2"/>
      <c r="F58" s="2"/>
    </row>
    <row r="59" ht="16.5">
      <c r="B59" s="2"/>
      <c r="C59" s="2"/>
      <c r="D59" s="2"/>
      <c r="F59" s="2"/>
    </row>
    <row r="60" ht="16.5">
      <c r="B60" s="2"/>
      <c r="C60" s="2"/>
      <c r="D60" s="2"/>
      <c r="F60" s="2"/>
    </row>
    <row r="61" ht="16.5">
      <c r="B61" s="2"/>
      <c r="C61" s="2"/>
      <c r="D61" s="2"/>
      <c r="F61" s="2"/>
    </row>
    <row r="62" ht="16.5">
      <c r="B62" s="2"/>
      <c r="C62" s="2"/>
      <c r="D62" s="2"/>
      <c r="F62" s="2"/>
    </row>
    <row r="63" ht="16.5">
      <c r="B63" s="2"/>
      <c r="C63" s="2"/>
      <c r="D63" s="2"/>
      <c r="F63" s="2"/>
    </row>
    <row r="64" ht="16.5">
      <c r="B64" s="2"/>
      <c r="C64" s="2"/>
      <c r="D64" s="2"/>
      <c r="F64" s="2"/>
    </row>
    <row r="65" ht="16.5">
      <c r="B65" s="2"/>
      <c r="C65" s="2"/>
      <c r="D65" s="2"/>
      <c r="F65" s="2"/>
    </row>
    <row r="66" ht="16.5">
      <c r="B66" s="2"/>
      <c r="C66" s="2"/>
      <c r="D66" s="2"/>
      <c r="F66" s="2"/>
    </row>
    <row r="67" ht="16.5">
      <c r="B67" s="2"/>
      <c r="C67" s="2"/>
      <c r="D67" s="2"/>
      <c r="F67" s="2"/>
    </row>
    <row r="68" ht="16.5">
      <c r="B68" s="2"/>
      <c r="C68" s="2"/>
      <c r="D68" s="2"/>
      <c r="F68" s="2"/>
    </row>
    <row r="69" ht="16.5">
      <c r="B69" s="2"/>
      <c r="C69" s="2"/>
      <c r="D69" s="2"/>
      <c r="F69" s="2"/>
    </row>
    <row r="70" ht="16.5">
      <c r="B70" s="2"/>
      <c r="C70" s="2"/>
      <c r="D70" s="2"/>
      <c r="F70" s="2"/>
    </row>
    <row r="71" ht="16.5">
      <c r="B71" s="2"/>
      <c r="C71" s="2"/>
      <c r="D71" s="2"/>
      <c r="F71" s="2"/>
    </row>
    <row r="72" ht="16.5">
      <c r="B72" s="2"/>
      <c r="C72" s="2"/>
      <c r="D72" s="2"/>
      <c r="F72" s="2"/>
    </row>
    <row r="73" ht="16.5">
      <c r="B73" s="2"/>
      <c r="C73" s="2"/>
      <c r="D73" s="2"/>
      <c r="F73" s="2"/>
    </row>
    <row r="74" ht="16.5">
      <c r="B74" s="2"/>
      <c r="C74" s="2"/>
      <c r="D74" s="2"/>
      <c r="F74" s="2"/>
    </row>
    <row r="75" ht="16.5">
      <c r="B75" s="2"/>
      <c r="C75" s="2"/>
      <c r="D75" s="2"/>
      <c r="F75" s="2"/>
    </row>
    <row r="76" ht="16.5">
      <c r="B76" s="2"/>
      <c r="C76" s="2"/>
      <c r="D76" s="2"/>
      <c r="F76" s="2"/>
    </row>
    <row r="77" ht="16.5">
      <c r="B77" s="2"/>
      <c r="C77" s="2"/>
      <c r="D77" s="2"/>
      <c r="F77" s="2"/>
    </row>
    <row r="78" ht="16.5">
      <c r="B78" s="2"/>
      <c r="C78" s="2"/>
      <c r="D78" s="2"/>
      <c r="F78" s="2"/>
    </row>
    <row r="79" ht="16.5">
      <c r="B79" s="2"/>
      <c r="C79" s="2"/>
      <c r="D79" s="2"/>
      <c r="F79" s="2"/>
    </row>
    <row r="80" ht="16.5">
      <c r="B80" s="2"/>
      <c r="C80" s="2"/>
      <c r="D80" s="2"/>
      <c r="F80" s="2"/>
    </row>
    <row r="81" ht="16.5">
      <c r="B81" s="2"/>
      <c r="C81" s="2"/>
      <c r="D81" s="2"/>
      <c r="F81" s="2"/>
    </row>
    <row r="1048475" ht="12.800000000000001" customHeight="1"/>
    <row r="1048476" ht="12.800000000000001" customHeight="1"/>
    <row r="1048477" ht="12.800000000000001" customHeight="1"/>
    <row r="1048478" ht="12.800000000000001" customHeight="1"/>
    <row r="1048479" ht="12.800000000000001" customHeight="1"/>
    <row r="1048480" ht="12.800000000000001" customHeight="1"/>
    <row r="1048481" ht="12.800000000000001" customHeight="1"/>
    <row r="1048482" ht="12.800000000000001" customHeight="1"/>
    <row r="1048483" ht="12.800000000000001" customHeight="1"/>
  </sheetData>
  <printOptions headings="0" gridLines="0" horizontalCentered="0" verticalCentered="0"/>
  <pageMargins left="0.69999999999999996" right="0.69999999999999996" top="0.75" bottom="0.75" header="0.51181102362204689" footer="0.51181102362204689"/>
  <pageSetup paperSize="9" scale="100" fitToWidth="1" fitToHeight="1" pageOrder="downThenOver" orientation="portrait" usePrinterDefaults="1" blackAndWhite="0" draft="0" cellComments="none" useFirstPageNumber="0" errors="displayed" horizontalDpi="300" verticalDpi="300" copies="1"/>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Pr filterMode="0">
    <outlinePr applyStyles="0" summaryBelow="1" summaryRight="1" showOutlineSymbols="1"/>
    <pageSetUpPr autoPageBreaks="1" fitToPage="0"/>
  </sheetPr>
  <sheetViews>
    <sheetView showFormulas="0" showGridLines="1" showRowColHeaders="1" showZeros="1" view="normal" zoomScale="65" workbookViewId="0">
      <selection activeCell="E18" activeCellId="0" sqref="E18"/>
    </sheetView>
  </sheetViews>
  <sheetFormatPr defaultColWidth="10.58203125" defaultRowHeight="16.5"/>
  <cols>
    <col customWidth="1" min="1" max="1" style="57" width="21.625"/>
    <col min="2" max="5" style="57" width="10.58203125"/>
    <col customWidth="1" min="6" max="6" style="57" width="16.375"/>
    <col min="7" max="16384" style="57" width="10.58203125"/>
  </cols>
  <sheetData>
    <row r="1" ht="17.25" customHeight="1">
      <c r="A1" s="160" t="s">
        <v>366</v>
      </c>
      <c r="B1" s="160">
        <v>100</v>
      </c>
      <c r="C1" s="160">
        <v>-100</v>
      </c>
      <c r="D1" s="160" t="s">
        <v>367</v>
      </c>
      <c r="E1" s="57"/>
      <c r="G1" s="160"/>
      <c r="H1" s="160"/>
      <c r="I1" s="57"/>
      <c r="J1" s="57"/>
      <c r="K1" s="160" t="s">
        <v>1</v>
      </c>
      <c r="L1" s="160" t="s">
        <v>368</v>
      </c>
      <c r="M1" s="160" t="s">
        <v>3</v>
      </c>
      <c r="N1" s="160" t="s">
        <v>369</v>
      </c>
      <c r="O1" s="160" t="s">
        <v>370</v>
      </c>
      <c r="P1" s="160" t="s">
        <v>371</v>
      </c>
    </row>
    <row r="2" ht="15">
      <c r="A2" s="161" t="s">
        <v>372</v>
      </c>
      <c r="B2" s="161">
        <v>12</v>
      </c>
      <c r="C2" s="161">
        <v>12</v>
      </c>
      <c r="D2" s="161">
        <f t="shared" ref="D2:D9" si="1">SUM(B2:C2)</f>
        <v>24</v>
      </c>
      <c r="E2" s="57"/>
      <c r="F2" s="161"/>
      <c r="G2" s="57"/>
      <c r="H2" s="57"/>
      <c r="I2" s="57"/>
      <c r="J2" s="57"/>
      <c r="K2" s="57">
        <f>SUM(details!B2:B135)</f>
        <v>26</v>
      </c>
      <c r="L2" s="57">
        <f>SUM(details!C2:C133)</f>
        <v>40</v>
      </c>
      <c r="M2" s="57">
        <f>SUM(details!D2:D133)</f>
        <v>66</v>
      </c>
      <c r="N2" s="57">
        <f>(K2+L2+M2)-O2</f>
        <v>115</v>
      </c>
      <c r="O2" s="57">
        <v>17</v>
      </c>
      <c r="P2" s="57">
        <f>N2+O2</f>
        <v>132</v>
      </c>
      <c r="Q2" s="57"/>
    </row>
    <row r="3" ht="15">
      <c r="A3" s="161" t="s">
        <v>373</v>
      </c>
      <c r="B3" s="161">
        <v>11</v>
      </c>
      <c r="C3" s="161">
        <v>13</v>
      </c>
      <c r="D3" s="161">
        <f t="shared" si="1"/>
        <v>24</v>
      </c>
      <c r="E3" s="57"/>
      <c r="H3" s="57"/>
      <c r="I3" s="57"/>
      <c r="J3" s="57"/>
      <c r="K3" s="57"/>
      <c r="N3" s="57"/>
      <c r="O3" s="57"/>
    </row>
    <row r="4" ht="15">
      <c r="A4" s="162"/>
      <c r="B4" s="161">
        <f>SUM(B2:B3)</f>
        <v>23</v>
      </c>
      <c r="C4" s="161">
        <f>SUM(C2:C3)</f>
        <v>25</v>
      </c>
      <c r="D4" s="160">
        <f t="shared" si="1"/>
        <v>48</v>
      </c>
      <c r="E4" s="163"/>
      <c r="F4" s="164" t="s">
        <v>374</v>
      </c>
      <c r="G4" s="165"/>
      <c r="H4" s="165"/>
      <c r="I4" s="165"/>
      <c r="J4" s="57"/>
      <c r="K4" s="166"/>
      <c r="L4" s="166"/>
      <c r="N4" s="57"/>
      <c r="O4" s="57"/>
    </row>
    <row r="5" ht="15">
      <c r="A5" s="162"/>
      <c r="B5" s="162"/>
      <c r="C5" s="162"/>
      <c r="D5" s="162"/>
      <c r="E5" s="57"/>
      <c r="F5" s="162"/>
      <c r="G5" s="57"/>
      <c r="I5" s="57"/>
      <c r="J5" s="57"/>
    </row>
    <row r="6" ht="17.25" customHeight="1">
      <c r="A6" s="160" t="s">
        <v>375</v>
      </c>
      <c r="B6" s="160">
        <v>2</v>
      </c>
      <c r="C6" s="160">
        <v>1</v>
      </c>
      <c r="D6" s="160" t="s">
        <v>367</v>
      </c>
      <c r="E6" s="57"/>
      <c r="F6" s="160" t="s">
        <v>375</v>
      </c>
      <c r="G6" s="160">
        <v>2</v>
      </c>
      <c r="H6" s="160">
        <v>1</v>
      </c>
      <c r="I6" s="160" t="s">
        <v>367</v>
      </c>
      <c r="J6" s="57"/>
    </row>
    <row r="7" ht="15">
      <c r="A7" s="161" t="s">
        <v>372</v>
      </c>
      <c r="B7" s="161">
        <v>11</v>
      </c>
      <c r="C7" s="161">
        <v>12</v>
      </c>
      <c r="D7" s="161">
        <f t="shared" si="1"/>
        <v>23</v>
      </c>
      <c r="E7" s="57"/>
      <c r="F7" s="161">
        <v>6</v>
      </c>
      <c r="G7" s="167">
        <v>7</v>
      </c>
      <c r="H7" s="167">
        <v>5</v>
      </c>
      <c r="I7" s="168">
        <f t="shared" ref="I7:I8" si="2">G7+H7</f>
        <v>12</v>
      </c>
      <c r="J7" s="57"/>
    </row>
    <row r="8" ht="15">
      <c r="A8" s="161" t="s">
        <v>373</v>
      </c>
      <c r="B8" s="161">
        <v>13</v>
      </c>
      <c r="C8" s="161">
        <v>11</v>
      </c>
      <c r="D8" s="161">
        <f t="shared" si="1"/>
        <v>24</v>
      </c>
      <c r="E8" s="57"/>
      <c r="F8" s="167">
        <v>3</v>
      </c>
      <c r="G8" s="167">
        <v>4</v>
      </c>
      <c r="H8" s="167">
        <v>4</v>
      </c>
      <c r="I8" s="168">
        <f t="shared" si="2"/>
        <v>8</v>
      </c>
      <c r="J8" s="57"/>
    </row>
    <row r="9" ht="15">
      <c r="A9" s="162"/>
      <c r="B9" s="161">
        <f>SUM(B7:B8)</f>
        <v>24</v>
      </c>
      <c r="C9" s="161">
        <f>SUM(C7:C8)</f>
        <v>23</v>
      </c>
      <c r="D9" s="169">
        <f t="shared" si="1"/>
        <v>47</v>
      </c>
      <c r="E9" s="163"/>
      <c r="F9" s="161"/>
      <c r="G9" s="168">
        <f>G7+G8</f>
        <v>11</v>
      </c>
      <c r="H9" s="168">
        <f>H7+H8</f>
        <v>9</v>
      </c>
      <c r="I9" s="168">
        <f>I7+I8</f>
        <v>20</v>
      </c>
      <c r="J9" s="57"/>
    </row>
    <row r="10" ht="15">
      <c r="A10" s="57"/>
      <c r="B10" s="57"/>
      <c r="C10" s="57"/>
      <c r="D10" s="57"/>
      <c r="F10" s="57"/>
      <c r="G10" s="57"/>
    </row>
    <row r="11" ht="17.25" customHeight="1">
      <c r="A11" s="160" t="s">
        <v>376</v>
      </c>
      <c r="B11" s="160">
        <v>2</v>
      </c>
      <c r="C11" s="160">
        <v>1</v>
      </c>
      <c r="D11" s="160" t="s">
        <v>367</v>
      </c>
      <c r="E11" s="170"/>
      <c r="F11" s="160" t="s">
        <v>376</v>
      </c>
      <c r="G11" s="160">
        <v>2</v>
      </c>
      <c r="H11" s="160">
        <v>1</v>
      </c>
      <c r="I11" s="160" t="s">
        <v>367</v>
      </c>
      <c r="J11" s="57"/>
      <c r="K11" s="57"/>
      <c r="L11" s="57"/>
      <c r="M11" s="57"/>
    </row>
    <row r="12" ht="16.5">
      <c r="A12" s="161" t="s">
        <v>377</v>
      </c>
      <c r="B12" s="161">
        <v>6</v>
      </c>
      <c r="C12" s="161">
        <v>5</v>
      </c>
      <c r="D12" s="161">
        <f t="shared" ref="D12:D16" si="3">SUM(B12:C12)</f>
        <v>11</v>
      </c>
      <c r="F12" s="161">
        <v>6</v>
      </c>
      <c r="G12" s="167">
        <v>7</v>
      </c>
      <c r="H12" s="167">
        <v>5</v>
      </c>
      <c r="I12" s="168">
        <f t="shared" ref="I12:I13" si="4">G12+H12</f>
        <v>12</v>
      </c>
    </row>
    <row r="13" ht="16.5">
      <c r="A13" s="161" t="s">
        <v>378</v>
      </c>
      <c r="B13" s="161">
        <v>5</v>
      </c>
      <c r="C13" s="161">
        <v>5</v>
      </c>
      <c r="D13" s="161">
        <f t="shared" si="3"/>
        <v>10</v>
      </c>
      <c r="F13" s="167">
        <v>3</v>
      </c>
      <c r="G13" s="167">
        <v>5</v>
      </c>
      <c r="H13" s="167">
        <v>3</v>
      </c>
      <c r="I13" s="168">
        <f t="shared" si="4"/>
        <v>8</v>
      </c>
    </row>
    <row r="14" ht="16.5">
      <c r="A14" s="162" t="s">
        <v>379</v>
      </c>
      <c r="B14" s="161">
        <v>3</v>
      </c>
      <c r="C14" s="161">
        <v>4</v>
      </c>
      <c r="D14" s="162">
        <f t="shared" si="3"/>
        <v>7</v>
      </c>
      <c r="F14" s="161"/>
      <c r="G14" s="168">
        <f>G12+G13</f>
        <v>12</v>
      </c>
      <c r="H14" s="168">
        <f>H12+H13</f>
        <v>8</v>
      </c>
      <c r="I14" s="168">
        <f>I12+I13</f>
        <v>20</v>
      </c>
    </row>
    <row r="15" ht="16.5">
      <c r="A15" s="162" t="s">
        <v>380</v>
      </c>
      <c r="B15" s="162">
        <v>9</v>
      </c>
      <c r="C15" s="162">
        <v>4</v>
      </c>
      <c r="D15" s="162">
        <f t="shared" si="3"/>
        <v>13</v>
      </c>
      <c r="F15" s="162"/>
    </row>
    <row r="16" ht="16.5">
      <c r="B16" s="162">
        <f>SUM(B12:B15)</f>
        <v>23</v>
      </c>
      <c r="C16" s="162">
        <f>SUM(C12:C15)</f>
        <v>18</v>
      </c>
      <c r="D16" s="169">
        <f t="shared" si="3"/>
        <v>41</v>
      </c>
      <c r="F16" s="162"/>
    </row>
    <row r="18" ht="16.5">
      <c r="E18" s="57"/>
    </row>
  </sheetData>
  <mergeCells count="1">
    <mergeCell ref="F4:I4"/>
  </mergeCells>
  <printOptions headings="0" gridLines="0" horizontalCentered="0" verticalCentered="0"/>
  <pageMargins left="0.78750000000000009" right="0.78750000000000009" top="1.05277777777778" bottom="1.05277777777778" header="0.78750000000000009" footer="0.78750000000000009"/>
  <pageSetup paperSize="9" scale="100" fitToWidth="1" fitToHeight="1" pageOrder="downThenOver" orientation="portrait" usePrinterDefaults="1" blackAndWhite="0" draft="0" cellComments="none" useFirstPageNumber="0" errors="displayed" horizontalDpi="300" verticalDpi="300" copies="1"/>
  <headerFooter>
    <oddHeader>&amp;C&amp;"Times New Roman,Regular"&amp;Kffffff&amp;A</oddHeader>
    <oddFooter>&amp;C&amp;"Times New Roman,Regular"&amp;KffffffPage &amp;P</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Views>
    <sheetView zoomScale="100" workbookViewId="0">
      <selection activeCell="A1" activeCellId="0" sqref="A1"/>
    </sheetView>
  </sheetViews>
  <sheetFormatPr defaultRowHeight="16.5"/>
  <sheetData>
    <row r="1" ht="16.5">
      <c r="A1" s="128" t="s">
        <v>381</v>
      </c>
    </row>
    <row r="2" ht="16.5">
      <c r="A2" s="128" t="s">
        <v>382</v>
      </c>
      <c r="E2" s="128" t="s">
        <v>383</v>
      </c>
    </row>
    <row r="3" ht="16.5"/>
    <row r="4" ht="16.5">
      <c r="A4" s="128" t="s">
        <v>384</v>
      </c>
    </row>
    <row r="5" ht="16.5">
      <c r="A5" s="128" t="s">
        <v>385</v>
      </c>
    </row>
    <row r="6" ht="16.5">
      <c r="A6" s="128" t="s">
        <v>386</v>
      </c>
    </row>
    <row r="7" ht="16.5">
      <c r="A7" s="128" t="s">
        <v>387</v>
      </c>
    </row>
    <row r="8" ht="16.5">
      <c r="A8" s="128" t="s">
        <v>388</v>
      </c>
    </row>
  </sheetData>
  <printOptions headings="0" gridLines="0"/>
  <pageMargins left="0.70078740157480324" right="0.70078740157480324" top="0.75196850393700787" bottom="0.75196850393700787" header="0.29999999999999999" footer="0.29999999999999999"/>
  <pageSetup paperSize="9" scale="100" fitToWidth="1" fitToHeight="1" pageOrder="downThenOver" orientation="portrait" usePrinterDefaults="1" blackAndWhite="0" draft="0" cellComments="none" useFirstPageNumber="0" errors="displayed" horizontalDpi="600" verticalDpi="600" copies="1"/>
  <headerFooter/>
</worksheet>
</file>

<file path=docProps/app.xml><?xml version="1.0" encoding="utf-8"?>
<Properties xmlns="http://schemas.openxmlformats.org/officeDocument/2006/extended-properties" xmlns:vt="http://schemas.openxmlformats.org/officeDocument/2006/docPropsVTypes">
  <Template/>
  <Application>ONLYOFFICE/8.3.3.18</Application>
  <HeadingPairs>
    <vt:vector size="0" baseType="variant"/>
  </HeadingPairs>
  <TitlesOfParts>
    <vt:vector size="0" baseType="lpst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dc:description/>
  <dc:language>fr-FR</dc:language>
  <cp:lastModifiedBy>Fannie Fabre (Fannie.Fabre@univ-grenoble-alpes.fr)</cp:lastModifiedBy>
  <cp:revision>381</cp:revision>
  <dcterms:modified xsi:type="dcterms:W3CDTF">2025-06-20T13:51:52Z</dcterms:modified>
</cp:coreProperties>
</file>